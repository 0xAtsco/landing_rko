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99aa44dae544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Лиды" sheetId="1" r:id="Rac0d666f678246aa"/>
    <x:sheet xmlns:r="http://schemas.openxmlformats.org/officeDocument/2006/relationships" name="Диалоги" sheetId="2" r:id="R648c233d4e224a08"/>
    <x:sheet xmlns:r="http://schemas.openxmlformats.org/officeDocument/2006/relationships" name="Сводка" sheetId="3" r:id="R393bddfff0e54f6b"/>
    <x:sheet xmlns:r="http://schemas.openxmlformats.org/officeDocument/2006/relationships" name="Созвон" sheetId="4" r:id="Rb5b059af7df54e09"/>
    <x:sheet xmlns:r="http://schemas.openxmlformats.org/officeDocument/2006/relationships" name="Справочники" sheetId="5" r:id="R8643e5aee0de44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.mm.yyyy"/>
    <x:numFmt numFmtId="201" formatCode="dd.mm.yyyy hh:mm"/>
    <x:numFmt numFmtId="202" formatCode="yyyy-mm-dd"/>
    <x:numFmt numFmtId="203" formatCode="yyyy-mm-dd hh:mm"/>
    <x:numFmt numFmtId="204" formatCode="0"/>
  </x:numFmts>
  <x:fonts count="19">
    <x:font>
      <x:sz val="11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1"/>
      <x:color rgb="FFFFFFFF"/>
      <x:name val="Carlito"/>
    </x:font>
    <x:font>
      <x:b/>
      <x:sz val="11"/>
      <x:color rgb="FF0B1220"/>
      <x:name val="Carlito"/>
    </x:font>
    <x:font>
      <x:b/>
      <x:sz val="18"/>
      <x:color rgb="FFFFFDF8"/>
      <x:name val="Carlito"/>
    </x:font>
    <x:font>
      <x:i/>
      <x:sz val="10"/>
      <x:color rgb="FF6D685E"/>
      <x:name val="Carlito"/>
    </x:font>
    <x:font>
      <x:b/>
      <x:sz val="10"/>
      <x:color rgb="FFFFFDF8"/>
      <x:name val="Carlito"/>
    </x:font>
    <x:font>
      <x:sz val="10"/>
      <x:color rgb="FF171714"/>
      <x:name val="Carlito"/>
    </x:font>
    <x:font>
      <x:b/>
      <x:sz val="10"/>
      <x:color rgb="FF171714"/>
      <x:name val="Carlito"/>
    </x:font>
    <x:font>
      <x:b/>
      <x:i/>
      <x:sz val="10"/>
      <x:color rgb="FF6D685E"/>
      <x:name val="Carlito"/>
    </x:font>
    <x:font>
      <x:sz val="11"/>
      <x:color rgb="FF171714"/>
      <x:name val="Carlito"/>
    </x:font>
    <x:font>
      <x:b/>
      <x:sz val="15"/>
      <x:color rgb="FF171714"/>
      <x:name val="Carlito"/>
    </x:font>
    <x:font>
      <x:b/>
      <x:sz val="11"/>
      <x:color rgb="FF171714"/>
      <x:name val="Carlito"/>
    </x:font>
    <x:font>
      <x:b/>
      <x:sz val="15"/>
      <x:color rgb="FF2F7759"/>
      <x:name val="Carlito"/>
    </x:font>
    <x:font>
      <x:b/>
      <x:sz val="13"/>
      <x:color rgb="FF171714"/>
      <x:name val="Carlito"/>
    </x:font>
    <x:font>
      <x:b/>
      <x:sz val="12"/>
      <x:color rgb="FFFFFDF8"/>
      <x:name val="Carlito"/>
    </x:font>
    <x:font>
      <x:i/>
      <x:sz val="11"/>
      <x:color rgb="FF6D685E"/>
      <x:name val="Carlito"/>
    </x:font>
    <x:font>
      <x:b/>
      <x:sz val="11"/>
      <x:color rgb="FFFFFDF8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3157FF"/>
      </x:patternFill>
    </x:fill>
    <x:fill>
      <x:patternFill patternType="solid">
        <x:fgColor rgb="FFF3F5F8"/>
      </x:patternFill>
    </x:fill>
    <x:fill>
      <x:patternFill patternType="solid">
        <x:fgColor rgb="FF0B1220"/>
      </x:patternFill>
    </x:fill>
    <x:fill>
      <x:patternFill patternType="solid">
        <x:fgColor rgb="FFFFF1E8"/>
      </x:patternFill>
    </x:fill>
    <x:fill>
      <x:patternFill patternType="solid">
        <x:fgColor rgb="FFEAF0FF"/>
      </x:patternFill>
    </x:fill>
    <x:fill>
      <x:patternFill patternType="solid">
        <x:fgColor rgb="FF171714"/>
      </x:patternFill>
    </x:fill>
    <x:fill>
      <x:patternFill patternType="solid">
        <x:fgColor rgb="FFF2EEE4"/>
      </x:patternFill>
    </x:fill>
    <x:fill>
      <x:patternFill patternType="solid">
        <x:fgColor rgb="FFFFFDF8"/>
      </x:patternFill>
    </x:fill>
    <x:fill>
      <x:patternFill patternType="solid">
        <x:fgColor rgb="FFFBF8F1"/>
      </x:patternFill>
    </x:fill>
    <x:fill>
      <x:patternFill patternType="solid">
        <x:fgColor rgb="FFF7E8CF"/>
      </x:patternFill>
    </x:fill>
    <x:fill>
      <x:patternFill patternType="solid">
        <x:fgColor rgb="FFE3EFE8"/>
      </x:patternFill>
    </x:fill>
    <x:fill>
      <x:patternFill patternType="solid">
        <x:fgColor rgb="FFF59A23"/>
      </x:patternFill>
    </x:fill>
    <x:fill>
      <x:patternFill patternType="solid">
        <x:fgColor rgb="FFF3E2DC"/>
      </x:patternFill>
    </x:fill>
  </x:fills>
  <x:borders count="3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bottom style="medium">
        <x:color rgb="FFF59A23"/>
      </x:bottom>
    </x:border>
    <x:border>
      <x:bottom style="thin">
        <x:color rgb="FFD7CEBF"/>
      </x:bottom>
    </x:border>
    <x:border>
      <x:top style="thin">
        <x:color rgb="FFD7CEBF"/>
      </x:top>
      <x:bottom style="thin">
        <x:color rgb="FFD7CEBF"/>
      </x:bottom>
    </x:border>
    <x:border>
      <x:top style="thin">
        <x:color rgb="FFD7CEBF"/>
      </x:top>
    </x:border>
    <x:border>
      <x:left style="thin">
        <x:color rgb="FFD7CEBF"/>
      </x:left>
      <x:top style="thin">
        <x:color rgb="FFD7CEBF"/>
      </x:top>
    </x:border>
    <x:border>
      <x:right style="thin">
        <x:color rgb="FFD7CEBF"/>
      </x:right>
      <x:top style="thin">
        <x:color rgb="FFD7CEBF"/>
      </x:top>
    </x:border>
    <x:border>
      <x:left style="thin">
        <x:color rgb="FFD7CEBF"/>
      </x:left>
    </x:border>
    <x:border>
      <x:right style="thin">
        <x:color rgb="FFD7CEBF"/>
      </x:right>
    </x:border>
    <x:border>
      <x:left style="thin">
        <x:color rgb="FFD7CEBF"/>
      </x:left>
      <x:bottom style="thin">
        <x:color rgb="FFD7CEBF"/>
      </x:bottom>
    </x:border>
    <x:border>
      <x:right style="thin">
        <x:color rgb="FFD7CEBF"/>
      </x:right>
      <x:bottom style="thin">
        <x:color rgb="FFD7CEBF"/>
      </x:bottom>
    </x:border>
    <x:border>
      <x:left style="thin">
        <x:color rgb="FFD7CEBF"/>
      </x:left>
      <x:right style="thin">
        <x:color rgb="FFD7CEBF"/>
      </x:right>
      <x:top style="thin">
        <x:color rgb="FFD7CEBF"/>
      </x:top>
      <x:bottom style="thin">
        <x:color rgb="FFD7CEBF"/>
      </x:bottom>
    </x:border>
    <x:border>
      <x:left style="thin">
        <x:color rgb="FFD7CEBF"/>
      </x:left>
      <x:right style="thin">
        <x:color rgb="FFD7CEBF"/>
      </x:right>
      <x:top style="thin">
        <x:color rgb="FFD7CEBF"/>
      </x:top>
      <x:bottom style="medium">
        <x:color rgb="FFF59A23"/>
      </x:bottom>
    </x:border>
  </x:borders>
  <x:cellStyleXfs count="1">
    <x:xf numFmtId="0" fontId="0" fillId="0" borderId="0"/>
  </x:cellStyleXfs>
  <x:cellXfs count="2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7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16" xfId="0" applyNumberFormat="1" applyFont="1" applyFill="1" applyBorder="1"/>
    <x:xf numFmtId="200" fontId="0" fillId="0" borderId="16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</x:xf>
    <x:xf numFmtId="0" fontId="2" fillId="3" borderId="8" xfId="0" applyNumberFormat="1" applyFont="1" applyFill="1" applyBorder="1" applyAlignment="1">
      <x:alignment vertical="top" wrapText="1"/>
    </x:xf>
    <x:xf numFmtId="0" fontId="2" fillId="3" borderId="9" xfId="0" applyNumberFormat="1" applyFont="1" applyFill="1" applyBorder="1" applyAlignment="1">
      <x:alignment vertical="top" wrapText="1"/>
    </x:xf>
    <x:xf numFmtId="0" fontId="2" fillId="3" borderId="10" xfId="0" applyNumberFormat="1" applyFont="1" applyFill="1" applyBorder="1" applyAlignment="1">
      <x:alignment vertical="top" wrapText="1"/>
    </x:xf>
    <x:xf numFmtId="0" fontId="2" fillId="3" borderId="11" xfId="0" applyNumberFormat="1" applyFont="1" applyFill="1" applyBorder="1" applyAlignment="1">
      <x:alignment vertical="top" wrapText="1"/>
    </x:xf>
    <x:xf numFmtId="0" fontId="2" fillId="3" borderId="12" xfId="0" applyNumberFormat="1" applyFont="1" applyFill="1" applyBorder="1" applyAlignment="1">
      <x:alignment vertical="top" wrapText="1"/>
    </x:xf>
    <x:xf numFmtId="0" fontId="2" fillId="3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 applyAlignment="1">
      <x:alignment vertical="top" wrapText="1"/>
    </x:xf>
    <x:xf numFmtId="0" fontId="2" fillId="3" borderId="15" xfId="0" applyNumberFormat="1" applyFont="1" applyFill="1" applyBorder="1" applyAlignment="1">
      <x:alignment vertical="top" wrapText="1"/>
    </x:xf>
    <x:xf numFmtId="0" fontId="2" fillId="3" borderId="16" xfId="0" applyNumberFormat="1" applyFont="1" applyFill="1" applyBorder="1" applyAlignment="1">
      <x:alignment vertical="top" wrapText="1"/>
    </x:xf>
    <x:xf numFmtId="0" fontId="2" fillId="3" borderId="17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horizontal="left" vertical="center"/>
    </x:xf>
    <x:xf numFmtId="0" fontId="2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horizontal="left"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18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wrapText="1"/>
    </x:xf>
    <x:xf numFmtId="200" fontId="8" fillId="9" borderId="0" xfId="0" applyNumberFormat="1" applyFont="1" applyFill="1" applyBorder="1" applyAlignment="1">
      <x:alignment wrapText="1"/>
    </x:xf>
    <x:xf numFmtId="0" fontId="8" fillId="9" borderId="19" xfId="0" applyNumberFormat="1" applyFont="1" applyFill="1" applyBorder="1" applyAlignment="1">
      <x:alignment wrapText="1"/>
    </x:xf>
    <x:xf numFmtId="200" fontId="8" fillId="9" borderId="19" xfId="0" applyNumberFormat="1" applyFont="1" applyFill="1" applyBorder="1" applyAlignment="1">
      <x:alignment wrapText="1"/>
    </x:xf>
    <x:xf numFmtId="0" fontId="8" fillId="9" borderId="20" xfId="0" applyNumberFormat="1" applyFont="1" applyFill="1" applyBorder="1" applyAlignment="1">
      <x:alignment wrapText="1"/>
    </x:xf>
    <x:xf numFmtId="200" fontId="8" fillId="9" borderId="20" xfId="0" applyNumberFormat="1" applyFont="1" applyFill="1" applyBorder="1" applyAlignment="1">
      <x:alignment wrapText="1"/>
    </x:xf>
    <x:xf numFmtId="0" fontId="8" fillId="9" borderId="19" xfId="0" applyNumberFormat="1" applyFont="1" applyFill="1" applyBorder="1" applyAlignment="1">
      <x:alignment vertical="center" wrapText="1"/>
    </x:xf>
    <x:xf numFmtId="200" fontId="8" fillId="9" borderId="19" xfId="0" applyNumberFormat="1" applyFont="1" applyFill="1" applyBorder="1" applyAlignment="1">
      <x:alignment vertical="center" wrapText="1"/>
    </x:xf>
    <x:xf numFmtId="0" fontId="8" fillId="9" borderId="20" xfId="0" applyNumberFormat="1" applyFont="1" applyFill="1" applyBorder="1" applyAlignment="1">
      <x:alignment vertical="center" wrapText="1"/>
    </x:xf>
    <x:xf numFmtId="200" fontId="8" fillId="9" borderId="20" xfId="0" applyNumberFormat="1" applyFont="1" applyFill="1" applyBorder="1" applyAlignment="1">
      <x:alignment vertical="center" wrapText="1"/>
    </x:xf>
    <x:xf numFmtId="0" fontId="8" fillId="10" borderId="19" xfId="0" applyNumberFormat="1" applyFont="1" applyFill="1" applyBorder="1" applyAlignment="1">
      <x:alignment vertical="center" wrapText="1"/>
    </x:xf>
    <x:xf numFmtId="0" fontId="8" fillId="10" borderId="20" xfId="0" applyNumberFormat="1" applyFont="1" applyFill="1" applyBorder="1" applyAlignment="1">
      <x:alignment vertical="center" wrapText="1"/>
    </x:xf>
    <x:xf numFmtId="0" fontId="8" fillId="11" borderId="19" xfId="0" applyNumberFormat="1" applyFont="1" applyFill="1" applyBorder="1" applyAlignment="1">
      <x:alignment vertical="center" wrapText="1"/>
    </x:xf>
    <x:xf numFmtId="0" fontId="8" fillId="11" borderId="20" xfId="0" applyNumberFormat="1" applyFont="1" applyFill="1" applyBorder="1" applyAlignment="1">
      <x:alignment vertical="center" wrapText="1"/>
    </x:xf>
    <x:xf numFmtId="0" fontId="9" fillId="11" borderId="19" xfId="0" applyNumberFormat="1" applyFont="1" applyFill="1" applyBorder="1" applyAlignment="1">
      <x:alignment vertical="center" wrapText="1"/>
    </x:xf>
    <x:xf numFmtId="0" fontId="9" fillId="11" borderId="20" xfId="0" applyNumberFormat="1" applyFont="1" applyFill="1" applyBorder="1" applyAlignment="1">
      <x:alignment vertical="center" wrapText="1"/>
    </x:xf>
    <x:xf numFmtId="0" fontId="9" fillId="11" borderId="19" xfId="0" applyNumberFormat="1" applyFont="1" applyFill="1" applyBorder="1" applyAlignment="1">
      <x:alignment horizontal="center" vertical="center" wrapText="1"/>
    </x:xf>
    <x:xf numFmtId="0" fontId="9" fillId="11" borderId="20" xfId="0" applyNumberFormat="1" applyFont="1" applyFill="1" applyBorder="1" applyAlignment="1">
      <x:alignment horizontal="center" vertical="center" wrapText="1"/>
    </x:xf>
    <x:xf numFmtId="0" fontId="8" fillId="12" borderId="19" xfId="0" applyNumberFormat="1" applyFont="1" applyFill="1" applyBorder="1" applyAlignment="1">
      <x:alignment vertical="center" wrapText="1"/>
    </x:xf>
    <x:xf numFmtId="0" fontId="8" fillId="12" borderId="20" xfId="0" applyNumberFormat="1" applyFont="1" applyFill="1" applyBorder="1" applyAlignment="1">
      <x:alignment vertical="center" wrapText="1"/>
    </x:xf>
    <x:xf numFmtId="202" fontId="8" fillId="9" borderId="19" xfId="0" applyNumberFormat="1" applyFont="1" applyFill="1" applyBorder="1" applyAlignment="1">
      <x:alignment vertical="center" wrapText="1"/>
    </x:xf>
    <x:xf numFmtId="202" fontId="8" fillId="9" borderId="2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0" fontId="10" fillId="8" borderId="18" xfId="0" applyNumberFormat="1" applyFont="1" applyFill="1" applyBorder="1" applyAlignment="1">
      <x:alignment vertical="center" wrapText="1"/>
    </x:xf>
    <x:xf numFmtId="0" fontId="10" fillId="8" borderId="18" xfId="0" applyNumberFormat="1" applyFont="1" applyFill="1" applyBorder="1" applyAlignment="1">
      <x:alignment horizontal="left" vertical="center" wrapText="1"/>
    </x:xf>
    <x:xf numFmtId="201" fontId="0" fillId="9" borderId="0" xfId="0" applyNumberFormat="1" applyFont="1" applyFill="1" applyBorder="1" applyAlignment="1">
      <x:alignment wrapText="1"/>
    </x:xf>
    <x:xf numFmtId="201" fontId="8" fillId="9" borderId="0" xfId="0" applyNumberFormat="1" applyFont="1" applyFill="1" applyBorder="1" applyAlignment="1">
      <x:alignment wrapText="1"/>
    </x:xf>
    <x:xf numFmtId="201" fontId="8" fillId="9" borderId="19" xfId="0" applyNumberFormat="1" applyFont="1" applyFill="1" applyBorder="1" applyAlignment="1">
      <x:alignment wrapText="1"/>
    </x:xf>
    <x:xf numFmtId="201" fontId="8" fillId="9" borderId="20" xfId="0" applyNumberFormat="1" applyFont="1" applyFill="1" applyBorder="1" applyAlignment="1">
      <x:alignment wrapText="1"/>
    </x:xf>
    <x:xf numFmtId="201" fontId="8" fillId="9" borderId="19" xfId="0" applyNumberFormat="1" applyFont="1" applyFill="1" applyBorder="1" applyAlignment="1">
      <x:alignment vertical="center" wrapText="1"/>
    </x:xf>
    <x:xf numFmtId="201" fontId="8" fillId="9" borderId="20" xfId="0" applyNumberFormat="1" applyFont="1" applyFill="1" applyBorder="1" applyAlignment="1">
      <x:alignment vertical="center" wrapText="1"/>
    </x:xf>
    <x:xf numFmtId="203" fontId="8" fillId="9" borderId="19" xfId="0" applyNumberFormat="1" applyFont="1" applyFill="1" applyBorder="1" applyAlignment="1">
      <x:alignment vertical="center" wrapText="1"/>
    </x:xf>
    <x:xf numFmtId="203" fontId="8" fillId="9" borderId="2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11" fillId="10" borderId="0" xfId="0" applyNumberFormat="1" applyFont="1" applyFill="1" applyBorder="1" applyAlignment="1">
      <x:alignment wrapText="1"/>
    </x:xf>
    <x:xf numFmtId="0" fontId="11" fillId="10" borderId="19" xfId="0" applyNumberFormat="1" applyFont="1" applyFill="1" applyBorder="1" applyAlignment="1">
      <x:alignment wrapText="1"/>
    </x:xf>
    <x:xf numFmtId="0" fontId="11" fillId="10" borderId="20" xfId="0" applyNumberFormat="1" applyFont="1" applyFill="1" applyBorder="1" applyAlignment="1">
      <x:alignment wrapText="1"/>
    </x:xf>
    <x:xf numFmtId="0" fontId="11" fillId="10" borderId="21" xfId="0" applyNumberFormat="1" applyFont="1" applyFill="1" applyBorder="1" applyAlignment="1">
      <x:alignment wrapText="1"/>
    </x:xf>
    <x:xf numFmtId="0" fontId="11" fillId="10" borderId="19" xfId="0" applyNumberFormat="1" applyFont="1" applyFill="1" applyBorder="1" applyAlignment="1">
      <x:alignment vertical="center" wrapText="1"/>
    </x:xf>
    <x:xf numFmtId="0" fontId="11" fillId="10" borderId="20" xfId="0" applyNumberFormat="1" applyFont="1" applyFill="1" applyBorder="1" applyAlignment="1">
      <x:alignment vertical="center" wrapText="1"/>
    </x:xf>
    <x:xf numFmtId="0" fontId="11" fillId="10" borderId="2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1" borderId="19" xfId="0" applyNumberFormat="1" applyFont="1" applyFill="1" applyBorder="1" applyAlignment="1">
      <x:alignment wrapText="1"/>
    </x:xf>
    <x:xf numFmtId="0" fontId="12" fillId="11" borderId="20" xfId="0" applyNumberFormat="1" applyFont="1" applyFill="1" applyBorder="1" applyAlignment="1">
      <x:alignment wrapText="1"/>
    </x:xf>
    <x:xf numFmtId="0" fontId="12" fillId="11" borderId="21" xfId="0" applyNumberFormat="1" applyFont="1" applyFill="1" applyBorder="1" applyAlignment="1">
      <x:alignment wrapText="1"/>
    </x:xf>
    <x:xf numFmtId="204" fontId="12" fillId="11" borderId="19" xfId="0" applyNumberFormat="1" applyFont="1" applyFill="1" applyBorder="1" applyAlignment="1">
      <x:alignment wrapText="1"/>
    </x:xf>
    <x:xf numFmtId="204" fontId="12" fillId="11" borderId="20" xfId="0" applyNumberFormat="1" applyFont="1" applyFill="1" applyBorder="1" applyAlignment="1">
      <x:alignment wrapText="1"/>
    </x:xf>
    <x:xf numFmtId="204" fontId="12" fillId="11" borderId="21" xfId="0" applyNumberFormat="1" applyFont="1" applyFill="1" applyBorder="1" applyAlignment="1">
      <x:alignment wrapText="1"/>
    </x:xf>
    <x:xf numFmtId="204" fontId="12" fillId="11" borderId="19" xfId="0" applyNumberFormat="1" applyFont="1" applyFill="1" applyBorder="1" applyAlignment="1">
      <x:alignment horizontal="center" wrapText="1"/>
    </x:xf>
    <x:xf numFmtId="204" fontId="12" fillId="11" borderId="20" xfId="0" applyNumberFormat="1" applyFont="1" applyFill="1" applyBorder="1" applyAlignment="1">
      <x:alignment horizontal="center" wrapText="1"/>
    </x:xf>
    <x:xf numFmtId="204" fontId="12" fillId="11" borderId="21" xfId="0" applyNumberFormat="1" applyFont="1" applyFill="1" applyBorder="1" applyAlignment="1">
      <x:alignment horizontal="center" wrapText="1"/>
    </x:xf>
    <x:xf numFmtId="204" fontId="12" fillId="11" borderId="19" xfId="0" applyNumberFormat="1" applyFont="1" applyFill="1" applyBorder="1" applyAlignment="1">
      <x:alignment horizontal="center" vertical="center" wrapText="1"/>
    </x:xf>
    <x:xf numFmtId="204" fontId="12" fillId="11" borderId="20" xfId="0" applyNumberFormat="1" applyFont="1" applyFill="1" applyBorder="1" applyAlignment="1">
      <x:alignment horizontal="center" vertical="center" wrapText="1"/>
    </x:xf>
    <x:xf numFmtId="204" fontId="12" fillId="11" borderId="21" xfId="0" applyNumberFormat="1" applyFont="1" applyFill="1" applyBorder="1" applyAlignment="1">
      <x:alignment horizontal="center" vertical="center" wrapText="1"/>
    </x:xf>
    <x:xf numFmtId="0" fontId="13" fillId="10" borderId="0" xfId="0" applyNumberFormat="1" applyFont="1" applyFill="1" applyBorder="1" applyAlignment="1">
      <x:alignment wrapText="1"/>
    </x:xf>
    <x:xf numFmtId="0" fontId="13" fillId="10" borderId="19" xfId="0" applyNumberFormat="1" applyFont="1" applyFill="1" applyBorder="1" applyAlignment="1">
      <x:alignment wrapText="1"/>
    </x:xf>
    <x:xf numFmtId="0" fontId="13" fillId="10" borderId="20" xfId="0" applyNumberFormat="1" applyFont="1" applyFill="1" applyBorder="1" applyAlignment="1">
      <x:alignment wrapText="1"/>
    </x:xf>
    <x:xf numFmtId="0" fontId="13" fillId="10" borderId="21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14" fillId="12" borderId="0" xfId="0" applyNumberFormat="1" applyFont="1" applyFill="1" applyBorder="1" applyAlignment="1">
      <x:alignment wrapText="1"/>
    </x:xf>
    <x:xf numFmtId="0" fontId="14" fillId="12" borderId="19" xfId="0" applyNumberFormat="1" applyFont="1" applyFill="1" applyBorder="1" applyAlignment="1">
      <x:alignment wrapText="1"/>
    </x:xf>
    <x:xf numFmtId="0" fontId="14" fillId="12" borderId="20" xfId="0" applyNumberFormat="1" applyFont="1" applyFill="1" applyBorder="1" applyAlignment="1">
      <x:alignment wrapText="1"/>
    </x:xf>
    <x:xf numFmtId="0" fontId="14" fillId="12" borderId="21" xfId="0" applyNumberFormat="1" applyFont="1" applyFill="1" applyBorder="1" applyAlignment="1">
      <x:alignment wrapText="1"/>
    </x:xf>
    <x:xf numFmtId="204" fontId="14" fillId="12" borderId="19" xfId="0" applyNumberFormat="1" applyFont="1" applyFill="1" applyBorder="1" applyAlignment="1">
      <x:alignment wrapText="1"/>
    </x:xf>
    <x:xf numFmtId="204" fontId="14" fillId="12" borderId="20" xfId="0" applyNumberFormat="1" applyFont="1" applyFill="1" applyBorder="1" applyAlignment="1">
      <x:alignment wrapText="1"/>
    </x:xf>
    <x:xf numFmtId="204" fontId="14" fillId="12" borderId="21" xfId="0" applyNumberFormat="1" applyFont="1" applyFill="1" applyBorder="1" applyAlignment="1">
      <x:alignment wrapText="1"/>
    </x:xf>
    <x:xf numFmtId="204" fontId="14" fillId="12" borderId="19" xfId="0" applyNumberFormat="1" applyFont="1" applyFill="1" applyBorder="1" applyAlignment="1">
      <x:alignment horizontal="center" wrapText="1"/>
    </x:xf>
    <x:xf numFmtId="204" fontId="14" fillId="12" borderId="20" xfId="0" applyNumberFormat="1" applyFont="1" applyFill="1" applyBorder="1" applyAlignment="1">
      <x:alignment horizontal="center" wrapText="1"/>
    </x:xf>
    <x:xf numFmtId="204" fontId="14" fillId="12" borderId="21" xfId="0" applyNumberFormat="1" applyFont="1" applyFill="1" applyBorder="1" applyAlignment="1">
      <x:alignment horizontal="center" wrapText="1"/>
    </x:xf>
    <x:xf numFmtId="204" fontId="14" fillId="12" borderId="19" xfId="0" applyNumberFormat="1" applyFont="1" applyFill="1" applyBorder="1" applyAlignment="1">
      <x:alignment horizontal="center" vertical="center" wrapText="1"/>
    </x:xf>
    <x:xf numFmtId="204" fontId="14" fillId="12" borderId="20" xfId="0" applyNumberFormat="1" applyFont="1" applyFill="1" applyBorder="1" applyAlignment="1">
      <x:alignment horizontal="center" vertical="center" wrapText="1"/>
    </x:xf>
    <x:xf numFmtId="204" fontId="14" fillId="12" borderId="21" xfId="0" applyNumberFormat="1" applyFont="1" applyFill="1" applyBorder="1" applyAlignment="1">
      <x:alignment horizontal="center" vertical="center" wrapText="1"/>
    </x:xf>
    <x:xf numFmtId="0" fontId="4" fillId="13" borderId="0" xfId="0" applyNumberFormat="1" applyFont="1" applyFill="1" applyBorder="1" applyAlignment="1">
      <x:alignment vertical="center" wrapText="1"/>
    </x:xf>
    <x:xf numFmtId="0" fontId="15" fillId="13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  <x:xf numFmtId="0" fontId="16" fillId="7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vertical="top" wrapText="1"/>
    </x:xf>
    <x:xf numFmtId="0" fontId="17" fillId="10" borderId="0" xfId="0" applyNumberFormat="1" applyFont="1" applyFill="1" applyBorder="1" applyAlignment="1">
      <x:alignment vertical="top" wrapText="1"/>
    </x:xf>
    <x:xf numFmtId="0" fontId="17" fillId="10" borderId="22" xfId="0" applyNumberFormat="1" applyFont="1" applyFill="1" applyBorder="1" applyAlignment="1">
      <x:alignment vertical="top" wrapText="1"/>
    </x:xf>
    <x:xf numFmtId="0" fontId="17" fillId="10" borderId="21" xfId="0" applyNumberFormat="1" applyFont="1" applyFill="1" applyBorder="1" applyAlignment="1">
      <x:alignment vertical="top" wrapText="1"/>
    </x:xf>
    <x:xf numFmtId="0" fontId="17" fillId="10" borderId="23" xfId="0" applyNumberFormat="1" applyFont="1" applyFill="1" applyBorder="1" applyAlignment="1">
      <x:alignment vertical="top" wrapText="1"/>
    </x:xf>
    <x:xf numFmtId="0" fontId="17" fillId="10" borderId="24" xfId="0" applyNumberFormat="1" applyFont="1" applyFill="1" applyBorder="1" applyAlignment="1">
      <x:alignment vertical="top" wrapText="1"/>
    </x:xf>
    <x:xf numFmtId="0" fontId="17" fillId="10" xfId="0" applyNumberFormat="1" applyFont="1" applyFill="1" applyBorder="0" applyAlignment="1">
      <x:alignment vertical="top" wrapText="1"/>
    </x:xf>
    <x:xf numFmtId="0" fontId="17" fillId="10" borderId="25" xfId="0" applyNumberFormat="1" applyFont="1" applyFill="1" applyBorder="1" applyAlignment="1">
      <x:alignment vertical="top" wrapText="1"/>
    </x:xf>
    <x:xf numFmtId="0" fontId="17" fillId="10" borderId="26" xfId="0" applyNumberFormat="1" applyFont="1" applyFill="1" applyBorder="1" applyAlignment="1">
      <x:alignment vertical="top" wrapText="1"/>
    </x:xf>
    <x:xf numFmtId="0" fontId="17" fillId="10" borderId="19" xfId="0" applyNumberFormat="1" applyFont="1" applyFill="1" applyBorder="1" applyAlignment="1">
      <x:alignment vertical="top" wrapText="1"/>
    </x:xf>
    <x:xf numFmtId="0" fontId="17" fillId="10" borderId="27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/>
    <x:xf numFmtId="0" fontId="6" fillId="8" borderId="18" xfId="0" applyNumberFormat="1" applyFont="1" applyFill="1" applyBorder="1"/>
    <x:xf numFmtId="0" fontId="6" fillId="8" borderId="18" xfId="0" applyNumberFormat="1" applyFont="1" applyFill="1" applyBorder="1" applyAlignment="1">
      <x:alignment wrapText="1"/>
    </x:xf>
    <x:xf numFmtId="0" fontId="6" fillId="8" borderId="18" xfId="0" applyNumberFormat="1" applyFont="1" applyFill="1" applyBorder="1" applyAlignment="1">
      <x:alignment horizontal="left" wrapText="1"/>
    </x:xf>
    <x:xf numFmtId="0" fontId="8" fillId="13" borderId="19" xfId="0" applyNumberFormat="1" applyFont="1" applyFill="1" applyBorder="1" applyAlignment="1">
      <x:alignment vertical="center" wrapText="1"/>
    </x:xf>
    <x:xf numFmtId="0" fontId="8" fillId="13" borderId="20" xfId="0" applyNumberFormat="1" applyFont="1" applyFill="1" applyBorder="1" applyAlignment="1">
      <x:alignment vertical="center" wrapText="1"/>
    </x:xf>
    <x:xf numFmtId="0" fontId="13" fillId="13" borderId="19" xfId="0" applyNumberFormat="1" applyFont="1" applyFill="1" applyBorder="1" applyAlignment="1">
      <x:alignment vertical="center" wrapText="1"/>
    </x:xf>
    <x:xf numFmtId="0" fontId="13" fillId="13" borderId="20" xfId="0" applyNumberFormat="1" applyFont="1" applyFill="1" applyBorder="1" applyAlignment="1">
      <x:alignment vertical="center" wrapText="1"/>
    </x:xf>
    <x:xf numFmtId="0" fontId="13" fillId="13" borderId="19" xfId="0" applyNumberFormat="1" applyFont="1" applyFill="1" applyBorder="1" applyAlignment="1">
      <x:alignment horizontal="center" vertical="center" wrapText="1"/>
    </x:xf>
    <x:xf numFmtId="0" fontId="13" fillId="13" borderId="20" xfId="0" applyNumberFormat="1" applyFont="1" applyFill="1" applyBorder="1" applyAlignment="1">
      <x:alignment horizontal="center" vertical="center" wrapText="1"/>
    </x:xf>
    <x:xf numFmtId="0" fontId="8" fillId="14" borderId="19" xfId="0" applyNumberFormat="1" applyFont="1" applyFill="1" applyBorder="1" applyAlignment="1">
      <x:alignment vertical="center" wrapText="1"/>
    </x:xf>
    <x:xf numFmtId="0" fontId="8" fillId="14" borderId="2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10" borderId="0" xfId="0" applyNumberFormat="1" applyFont="1" applyFill="1" applyBorder="1"/>
    <x:xf numFmtId="0" fontId="9" fillId="10" borderId="28" xfId="0" applyNumberFormat="1" applyFont="1" applyFill="1" applyBorder="1" applyAlignment="1">
      <x:alignment horizontal="center" vertical="center" wrapText="1"/>
    </x:xf>
    <x:xf numFmtId="0" fontId="8" fillId="10" borderId="28" xfId="0" applyNumberFormat="1" applyFont="1" applyFill="1" applyBorder="1"/>
    <x:xf numFmtId="0" fontId="8" fillId="10" borderId="28" xfId="0" applyNumberFormat="1" applyFont="1" applyFill="1" applyBorder="1" applyAlignment="1">
      <x:alignment wrapText="1"/>
    </x:xf>
    <x:xf numFmtId="0" fontId="8" fillId="10" borderId="28" xfId="0" applyNumberFormat="1" applyFont="1" applyFill="1" applyBorder="1" applyAlignment="1">
      <x:alignment vertical="center" wrapText="1"/>
    </x:xf>
    <x:xf numFmtId="0" fontId="9" fillId="7" borderId="28" xfId="0" applyNumberFormat="1" applyFont="1" applyFill="1" applyBorder="1" applyAlignment="1">
      <x:alignment horizontal="center" vertical="center" wrapText="1"/>
    </x:xf>
    <x:xf numFmtId="0" fontId="18" fillId="7" borderId="28" xfId="0" applyNumberFormat="1" applyFont="1" applyFill="1" applyBorder="1" applyAlignment="1">
      <x:alignment horizontal="center" vertical="center" wrapText="1"/>
    </x:xf>
    <x:xf numFmtId="0" fontId="18" fillId="7" borderId="29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18A36B"/>
      </x:font>
      <x:fill>
        <x:patternFill>
          <x:bgColor rgb="FFE9F8F1"/>
        </x:patternFill>
      </x:fill>
    </x:dxf>
    <x:dxf>
      <x:font>
        <x:b/>
        <x:color rgb="FFFF6B1A"/>
      </x:font>
      <x:fill>
        <x:patternFill>
          <x:bgColor rgb="FFFFF1E8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b/>
        <x:color rgb="FFD64545"/>
      </x:font>
      <x:fill>
        <x:patternFill>
          <x:bgColor rgb="FFFDECEC"/>
        </x:patternFill>
      </x:fill>
    </x:dxf>
    <x:dxf>
      <x:font>
        <x:color rgb="FFFF6B1A"/>
      </x:font>
      <x:fill>
        <x:patternFill>
          <x:bgColor rgb="FFFFF1E8"/>
        </x:patternFill>
      </x:fill>
    </x:dxf>
    <x:dxf>
      <x:font>
        <x:b/>
        <x:color rgb="FFD64545"/>
      </x:font>
      <x:fill>
        <x:patternFill>
          <x:bgColor rgb="FFFDECEC"/>
        </x:patternFill>
      </x:fill>
    </x:dxf>
    <x:dxf>
      <x:font>
        <x:color rgb="FFFF6B1A"/>
      </x:font>
      <x:fill>
        <x:patternFill>
          <x:bgColor rgb="FFFFF1E8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b/>
        <x:color rgb="FF18A36B"/>
      </x:font>
      <x:fill>
        <x:patternFill>
          <x:bgColor rgb="FFE9F8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a7ae2522a14a7d" /><Relationship Type="http://schemas.openxmlformats.org/officeDocument/2006/relationships/theme" Target="/xl/theme/theme1.xml" Id="R9ccd706fe5b24233" /><Relationship Type="http://schemas.openxmlformats.org/officeDocument/2006/relationships/sharedStrings" Target="/xl/sharedStrings.xml" Id="Re23173a1713841f6" /><Relationship Type="http://schemas.openxmlformats.org/officeDocument/2006/relationships/worksheet" Target="/xl/worksheets/sheet1.xml" Id="Rac0d666f678246aa" /><Relationship Type="http://schemas.openxmlformats.org/officeDocument/2006/relationships/worksheet" Target="/xl/worksheets/sheet2.xml" Id="R648c233d4e224a08" /><Relationship Type="http://schemas.openxmlformats.org/officeDocument/2006/relationships/worksheet" Target="/xl/worksheets/sheet3.xml" Id="R393bddfff0e54f6b" /><Relationship Type="http://schemas.openxmlformats.org/officeDocument/2006/relationships/worksheet" Target="/xl/worksheets/sheet4.xml" Id="Rb5b059af7df54e09" /><Relationship Type="http://schemas.openxmlformats.org/officeDocument/2006/relationships/worksheet" Target="/xl/worksheets/sheet5.xml" Id="R8643e5aee0de44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f52caae1224db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Распределение рисков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 xmlns:a="http://schemas.openxmlformats.org/drawingml/2006/main">
              <a:srgbClr val="F59A23"/>
            </a:solidFill>
          </c:spPr>
          <c:cat>
            <c:strRef>
              <c:f>'Сводка'!$D$4:$D$7</c:f>
              <c:strCache>
                <c:ptCount val="0"/>
              </c:strCache>
            </c:strRef>
          </c:cat>
          <c:val>
            <c:numRef>
              <c:f>'Сводка'!$E$4:$E$7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f52caae1224db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HermesLeadsTable" displayName="HermesLeadsTable" ref="A3:N103" headerRowCount="1">
  <x:autoFilter ref="A3:N103"/>
  <x:tableColumns count="14">
    <x:tableColumn id="1" name="Компания"/>
    <x:tableColumn id="2" name="Ниша"/>
    <x:tableColumn id="3" name="Контакт / ссылка"/>
    <x:tableColumn id="4" name="Источник контакта"/>
    <x:tableColumn id="5" name="Продажи в переписках?"/>
    <x:tableColumn id="6" name="Есть 10+ диалогов?"/>
    <x:tableColumn id="7" name="Есть контакт владельца/РОП?"/>
    <x:tableColumn id="8" name="Проблема заметна публично?"/>
    <x:tableColumn id="9" name="Оценка"/>
    <x:tableColumn id="10" name="Приоритет"/>
    <x:tableColumn id="11" name="Статус"/>
    <x:tableColumn id="12" name="Следующее действие"/>
    <x:tableColumn id="13" name="Дата следующего шага"/>
    <x:tableColumn id="14" name="Заметки"/>
  </x:tableColumns>
  <x:tableStyleInfo name="TableStyleLight1" showRowStripes="0"/>
</x:table>
</file>

<file path=xl/tables/table2.xml><?xml version="1.0" encoding="utf-8"?>
<x:table xmlns:x="http://schemas.openxmlformats.org/spreadsheetml/2006/main" id="2" name="HermesDialogsTable" displayName="HermesDialogsTable" ref="A3:N203" headerRowCount="1">
  <x:autoFilter ref="A3:N203"/>
  <x:tableColumns count="14">
    <x:tableColumn id="1" name="ID диалога"/>
    <x:tableColumn id="2" name="Менеджер"/>
    <x:tableColumn id="3" name="Дата/время сообщения клиента"/>
    <x:tableColumn id="4" name="Дата/время первого ответа"/>
    <x:tableColumn id="5" name="Ответ, мин."/>
    <x:tableColumn id="6" name="Запрос клиента"/>
    <x:tableColumn id="7" name="На запрос ответили?"/>
    <x:tableColumn id="8" name="Следующий шаг назначен?"/>
    <x:tableColumn id="9" name="Уровень риска"/>
    <x:tableColumn id="10" name="Доказательство / цитата"/>
    <x:tableColumn id="11" name="Что потеряно"/>
    <x:tableColumn id="12" name="Действие сейчас"/>
    <x:tableColumn id="13" name="Вариант ответа"/>
    <x:tableColumn id="14" name="Проверено человеком?"/>
  </x:tableColumns>
  <x:tableStyleInfo name="TableStyleLight1" showRow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0bdc5ffa3043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7bd23d7477644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8f49046f75074a7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6.670000076293945" hidden="0" customWidth="1"/>
    <x:col min="2" max="2" width="13.109999656677246" hidden="0" customWidth="1"/>
    <x:col min="3" max="3" width="19.440000534057617" hidden="0" customWidth="1"/>
    <x:col min="4" max="4" width="16.110000610351562" hidden="0" customWidth="1"/>
    <x:col min="5" max="5" width="12.890000343322754" hidden="0" customWidth="1"/>
    <x:col min="6" max="6" width="12" hidden="0" customWidth="1"/>
    <x:col min="7" max="7" width="14.220000267028809" hidden="0" customWidth="1"/>
    <x:col min="8" max="8" width="14" hidden="0" customWidth="1"/>
    <x:col min="9" max="9" width="9.109999656677246" hidden="0" customWidth="1"/>
    <x:col min="10" max="10" width="10.670000076293945" hidden="0" customWidth="1"/>
    <x:col min="11" max="11" width="12.4399995803833" hidden="0" customWidth="1"/>
    <x:col min="12" max="12" width="20" hidden="0" customWidth="1"/>
    <x:col min="13" max="13" width="13.890000343322754" hidden="0" customWidth="1"/>
    <x:col min="14" max="14" width="21.110000610351562" hidden="0" customWidth="1"/>
  </x:cols>
  <x:sheetData>
    <x:row r="1" ht="31.5" customHeight="1">
      <x:c r="A1" s="105" t="str">
        <x:v>Кандидаты на первый Hermes-аудит</x:v>
      </x:c>
      <x:c r="B1" s="105"/>
      <x:c r="C1" s="105"/>
      <x:c r="D1" s="105"/>
      <x:c r="E1" s="105"/>
      <x:c r="F1" s="105"/>
      <x:c r="G1" s="105"/>
      <x:c r="H1" s="105"/>
      <x:c r="I1" s="105"/>
      <x:c r="J1" s="105"/>
      <x:c r="K1" s="105"/>
      <x:c r="L1" s="105"/>
      <x:c r="M1" s="105"/>
      <x:c r="N1" s="105"/>
    </x:row>
    <x:row r="2" ht="28.5" customHeight="1">
      <x:c r="A2" s="109" t="str">
        <x:v>Заполните 10 компаний. Приоритет получают бизнесы, где продажи идут в переписках, есть поток обращений и доступ к владельцу/РОП.</x:v>
      </x:c>
      <x:c r="B2" s="109"/>
      <x:c r="C2" s="109"/>
      <x:c r="D2" s="109"/>
      <x:c r="E2" s="109"/>
      <x:c r="F2" s="109"/>
      <x:c r="G2" s="109"/>
      <x:c r="H2" s="109"/>
      <x:c r="I2" s="109"/>
      <x:c r="J2" s="109"/>
      <x:c r="K2" s="109"/>
      <x:c r="L2" s="109"/>
      <x:c r="M2" s="109"/>
      <x:c r="N2" s="109"/>
    </x:row>
    <x:row r="3" ht="40.5" customHeight="1">
      <x:c r="A3" s="112" t="str">
        <x:v>Компания</x:v>
      </x:c>
      <x:c r="B3" s="112" t="str">
        <x:v>Ниша</x:v>
      </x:c>
      <x:c r="C3" s="112" t="str">
        <x:v>Контакт / ссылка</x:v>
      </x:c>
      <x:c r="D3" s="112" t="str">
        <x:v>Источник контакта</x:v>
      </x:c>
      <x:c r="E3" s="112" t="str">
        <x:v>Продажи в переписках?</x:v>
      </x:c>
      <x:c r="F3" s="112" t="str">
        <x:v>Есть 10+ диалогов?</x:v>
      </x:c>
      <x:c r="G3" s="112" t="str">
        <x:v>Есть контакт владельца/РОП?</x:v>
      </x:c>
      <x:c r="H3" s="112" t="str">
        <x:v>Проблема заметна публично?</x:v>
      </x:c>
      <x:c r="I3" s="112" t="str">
        <x:v>Оценка</x:v>
      </x:c>
      <x:c r="J3" s="112" t="str">
        <x:v>Приоритет</x:v>
      </x:c>
      <x:c r="K3" s="112" t="str">
        <x:v>Статус</x:v>
      </x:c>
      <x:c r="L3" s="112" t="str">
        <x:v>Следующее действие</x:v>
      </x:c>
      <x:c r="M3" s="112" t="str">
        <x:v>Дата следующего шага</x:v>
      </x:c>
      <x:c r="N3" s="112" t="str">
        <x:v>Заметки</x:v>
      </x:c>
    </x:row>
    <x:row r="4" ht="18" customHeight="1">
      <x:c r="A4" s="121"/>
      <x:c r="B4" s="121"/>
      <x:c r="C4" s="121"/>
      <x:c r="D4" s="121"/>
      <x:c r="E4" s="125"/>
      <x:c r="F4" s="125"/>
      <x:c r="G4" s="125"/>
      <x:c r="H4" s="125"/>
      <x:c r="I4" s="131" t="n">
        <x:f>IF(E4="Да",1,0)+IF(F4="Да",1,0)+IF(G4="Да",1,0)+IF(H4="Да",1,0)</x:f>
        <x:v>0</x:v>
      </x:c>
      <x:c r="J4" s="131" t="str">
        <x:f>IF(I4&gt;=4,"Высокий",IF(I4&gt;=2,"Средний","Низкий"))</x:f>
        <x:v>Низкий</x:v>
      </x:c>
      <x:c r="K4" s="133" t="str">
        <x:v>Новый</x:v>
      </x:c>
      <x:c r="L4" s="121"/>
      <x:c r="M4" s="135"/>
      <x:c r="N4" s="121"/>
    </x:row>
    <x:row r="5" ht="18" customHeight="1">
      <x:c r="A5" s="123"/>
      <x:c r="B5" s="123"/>
      <x:c r="C5" s="123"/>
      <x:c r="D5" s="123"/>
      <x:c r="E5" s="126"/>
      <x:c r="F5" s="126"/>
      <x:c r="G5" s="126"/>
      <x:c r="H5" s="126"/>
      <x:c r="I5" s="132" t="n">
        <x:f>IF(E5="Да",1,0)+IF(F5="Да",1,0)+IF(G5="Да",1,0)+IF(H5="Да",1,0)</x:f>
        <x:v>0</x:v>
      </x:c>
      <x:c r="J5" s="132" t="str">
        <x:f>IF(I5&gt;=4,"Высокий",IF(I5&gt;=2,"Средний","Низкий"))</x:f>
        <x:v>Низкий</x:v>
      </x:c>
      <x:c r="K5" s="134" t="str">
        <x:v>Новый</x:v>
      </x:c>
      <x:c r="L5" s="123"/>
      <x:c r="M5" s="136"/>
      <x:c r="N5" s="123"/>
    </x:row>
    <x:row r="6" ht="18" customHeight="1">
      <x:c r="A6" s="123"/>
      <x:c r="B6" s="123"/>
      <x:c r="C6" s="123"/>
      <x:c r="D6" s="123"/>
      <x:c r="E6" s="126"/>
      <x:c r="F6" s="126"/>
      <x:c r="G6" s="126"/>
      <x:c r="H6" s="126"/>
      <x:c r="I6" s="132" t="n">
        <x:f>IF(E6="Да",1,0)+IF(F6="Да",1,0)+IF(G6="Да",1,0)+IF(H6="Да",1,0)</x:f>
        <x:v>0</x:v>
      </x:c>
      <x:c r="J6" s="132" t="str">
        <x:f>IF(I6&gt;=4,"Высокий",IF(I6&gt;=2,"Средний","Низкий"))</x:f>
        <x:v>Низкий</x:v>
      </x:c>
      <x:c r="K6" s="134" t="str">
        <x:v>Новый</x:v>
      </x:c>
      <x:c r="L6" s="123"/>
      <x:c r="M6" s="136"/>
      <x:c r="N6" s="123"/>
    </x:row>
    <x:row r="7" ht="18" customHeight="1">
      <x:c r="A7" s="123"/>
      <x:c r="B7" s="123"/>
      <x:c r="C7" s="123"/>
      <x:c r="D7" s="123"/>
      <x:c r="E7" s="126"/>
      <x:c r="F7" s="126"/>
      <x:c r="G7" s="126"/>
      <x:c r="H7" s="126"/>
      <x:c r="I7" s="132" t="n">
        <x:f>IF(E7="Да",1,0)+IF(F7="Да",1,0)+IF(G7="Да",1,0)+IF(H7="Да",1,0)</x:f>
        <x:v>0</x:v>
      </x:c>
      <x:c r="J7" s="132" t="str">
        <x:f>IF(I7&gt;=4,"Высокий",IF(I7&gt;=2,"Средний","Низкий"))</x:f>
        <x:v>Низкий</x:v>
      </x:c>
      <x:c r="K7" s="134" t="str">
        <x:v>Новый</x:v>
      </x:c>
      <x:c r="L7" s="123"/>
      <x:c r="M7" s="136"/>
      <x:c r="N7" s="123"/>
    </x:row>
    <x:row r="8" ht="18" customHeight="1">
      <x:c r="A8" s="123"/>
      <x:c r="B8" s="123"/>
      <x:c r="C8" s="123"/>
      <x:c r="D8" s="123"/>
      <x:c r="E8" s="126"/>
      <x:c r="F8" s="126"/>
      <x:c r="G8" s="126"/>
      <x:c r="H8" s="126"/>
      <x:c r="I8" s="132" t="n">
        <x:f>IF(E8="Да",1,0)+IF(F8="Да",1,0)+IF(G8="Да",1,0)+IF(H8="Да",1,0)</x:f>
        <x:v>0</x:v>
      </x:c>
      <x:c r="J8" s="132" t="str">
        <x:f>IF(I8&gt;=4,"Высокий",IF(I8&gt;=2,"Средний","Низкий"))</x:f>
        <x:v>Низкий</x:v>
      </x:c>
      <x:c r="K8" s="134" t="str">
        <x:v>Новый</x:v>
      </x:c>
      <x:c r="L8" s="123"/>
      <x:c r="M8" s="136"/>
      <x:c r="N8" s="123"/>
    </x:row>
    <x:row r="9" ht="18" customHeight="1">
      <x:c r="A9" s="123"/>
      <x:c r="B9" s="123"/>
      <x:c r="C9" s="123"/>
      <x:c r="D9" s="123"/>
      <x:c r="E9" s="126"/>
      <x:c r="F9" s="126"/>
      <x:c r="G9" s="126"/>
      <x:c r="H9" s="126"/>
      <x:c r="I9" s="132" t="n">
        <x:f>IF(E9="Да",1,0)+IF(F9="Да",1,0)+IF(G9="Да",1,0)+IF(H9="Да",1,0)</x:f>
        <x:v>0</x:v>
      </x:c>
      <x:c r="J9" s="132" t="str">
        <x:f>IF(I9&gt;=4,"Высокий",IF(I9&gt;=2,"Средний","Низкий"))</x:f>
        <x:v>Низкий</x:v>
      </x:c>
      <x:c r="K9" s="134" t="str">
        <x:v>Новый</x:v>
      </x:c>
      <x:c r="L9" s="123"/>
      <x:c r="M9" s="136"/>
      <x:c r="N9" s="123"/>
    </x:row>
    <x:row r="10" ht="18" customHeight="1">
      <x:c r="A10" s="123"/>
      <x:c r="B10" s="123"/>
      <x:c r="C10" s="123"/>
      <x:c r="D10" s="123"/>
      <x:c r="E10" s="126"/>
      <x:c r="F10" s="126"/>
      <x:c r="G10" s="126"/>
      <x:c r="H10" s="126"/>
      <x:c r="I10" s="132" t="n">
        <x:f>IF(E10="Да",1,0)+IF(F10="Да",1,0)+IF(G10="Да",1,0)+IF(H10="Да",1,0)</x:f>
        <x:v>0</x:v>
      </x:c>
      <x:c r="J10" s="132" t="str">
        <x:f>IF(I10&gt;=4,"Высокий",IF(I10&gt;=2,"Средний","Низкий"))</x:f>
        <x:v>Низкий</x:v>
      </x:c>
      <x:c r="K10" s="134" t="str">
        <x:v>Новый</x:v>
      </x:c>
      <x:c r="L10" s="123"/>
      <x:c r="M10" s="136"/>
      <x:c r="N10" s="123"/>
    </x:row>
    <x:row r="11" ht="18" customHeight="1">
      <x:c r="A11" s="123"/>
      <x:c r="B11" s="123"/>
      <x:c r="C11" s="123"/>
      <x:c r="D11" s="123"/>
      <x:c r="E11" s="126"/>
      <x:c r="F11" s="126"/>
      <x:c r="G11" s="126"/>
      <x:c r="H11" s="126"/>
      <x:c r="I11" s="132" t="n">
        <x:f>IF(E11="Да",1,0)+IF(F11="Да",1,0)+IF(G11="Да",1,0)+IF(H11="Да",1,0)</x:f>
        <x:v>0</x:v>
      </x:c>
      <x:c r="J11" s="132" t="str">
        <x:f>IF(I11&gt;=4,"Высокий",IF(I11&gt;=2,"Средний","Низкий"))</x:f>
        <x:v>Низкий</x:v>
      </x:c>
      <x:c r="K11" s="134" t="str">
        <x:v>Новый</x:v>
      </x:c>
      <x:c r="L11" s="123"/>
      <x:c r="M11" s="136"/>
      <x:c r="N11" s="123"/>
    </x:row>
    <x:row r="12" ht="18" customHeight="1">
      <x:c r="A12" s="123"/>
      <x:c r="B12" s="123"/>
      <x:c r="C12" s="123"/>
      <x:c r="D12" s="123"/>
      <x:c r="E12" s="126"/>
      <x:c r="F12" s="126"/>
      <x:c r="G12" s="126"/>
      <x:c r="H12" s="126"/>
      <x:c r="I12" s="132" t="n">
        <x:f>IF(E12="Да",1,0)+IF(F12="Да",1,0)+IF(G12="Да",1,0)+IF(H12="Да",1,0)</x:f>
        <x:v>0</x:v>
      </x:c>
      <x:c r="J12" s="132" t="str">
        <x:f>IF(I12&gt;=4,"Высокий",IF(I12&gt;=2,"Средний","Низкий"))</x:f>
        <x:v>Низкий</x:v>
      </x:c>
      <x:c r="K12" s="134" t="str">
        <x:v>Новый</x:v>
      </x:c>
      <x:c r="L12" s="123"/>
      <x:c r="M12" s="136"/>
      <x:c r="N12" s="123"/>
    </x:row>
    <x:row r="13" ht="18" customHeight="1">
      <x:c r="A13" s="123"/>
      <x:c r="B13" s="123"/>
      <x:c r="C13" s="123"/>
      <x:c r="D13" s="123"/>
      <x:c r="E13" s="126"/>
      <x:c r="F13" s="126"/>
      <x:c r="G13" s="126"/>
      <x:c r="H13" s="126"/>
      <x:c r="I13" s="132" t="n">
        <x:f>IF(E13="Да",1,0)+IF(F13="Да",1,0)+IF(G13="Да",1,0)+IF(H13="Да",1,0)</x:f>
        <x:v>0</x:v>
      </x:c>
      <x:c r="J13" s="132" t="str">
        <x:f>IF(I13&gt;=4,"Высокий",IF(I13&gt;=2,"Средний","Низкий"))</x:f>
        <x:v>Низкий</x:v>
      </x:c>
      <x:c r="K13" s="134" t="str">
        <x:v>Новый</x:v>
      </x:c>
      <x:c r="L13" s="123"/>
      <x:c r="M13" s="136"/>
      <x:c r="N13" s="123"/>
    </x:row>
    <x:row r="14" ht="18" customHeight="1">
      <x:c r="A14" s="123"/>
      <x:c r="B14" s="123"/>
      <x:c r="C14" s="123"/>
      <x:c r="D14" s="123"/>
      <x:c r="E14" s="126"/>
      <x:c r="F14" s="126"/>
      <x:c r="G14" s="126"/>
      <x:c r="H14" s="126"/>
      <x:c r="I14" s="132" t="n">
        <x:f>IF(E14="Да",1,0)+IF(F14="Да",1,0)+IF(G14="Да",1,0)+IF(H14="Да",1,0)</x:f>
        <x:v>0</x:v>
      </x:c>
      <x:c r="J14" s="132" t="str">
        <x:f>IF(I14&gt;=4,"Высокий",IF(I14&gt;=2,"Средний","Низкий"))</x:f>
        <x:v>Низкий</x:v>
      </x:c>
      <x:c r="K14" s="134" t="str">
        <x:v>Новый</x:v>
      </x:c>
      <x:c r="L14" s="123"/>
      <x:c r="M14" s="136"/>
      <x:c r="N14" s="123"/>
    </x:row>
    <x:row r="15" ht="18" customHeight="1">
      <x:c r="A15" s="123"/>
      <x:c r="B15" s="123"/>
      <x:c r="C15" s="123"/>
      <x:c r="D15" s="123"/>
      <x:c r="E15" s="126"/>
      <x:c r="F15" s="126"/>
      <x:c r="G15" s="126"/>
      <x:c r="H15" s="126"/>
      <x:c r="I15" s="132" t="n">
        <x:f>IF(E15="Да",1,0)+IF(F15="Да",1,0)+IF(G15="Да",1,0)+IF(H15="Да",1,0)</x:f>
        <x:v>0</x:v>
      </x:c>
      <x:c r="J15" s="132" t="str">
        <x:f>IF(I15&gt;=4,"Высокий",IF(I15&gt;=2,"Средний","Низкий"))</x:f>
        <x:v>Низкий</x:v>
      </x:c>
      <x:c r="K15" s="134" t="str">
        <x:v>Новый</x:v>
      </x:c>
      <x:c r="L15" s="123"/>
      <x:c r="M15" s="136"/>
      <x:c r="N15" s="123"/>
    </x:row>
    <x:row r="16" ht="18" customHeight="1">
      <x:c r="A16" s="123"/>
      <x:c r="B16" s="123"/>
      <x:c r="C16" s="123"/>
      <x:c r="D16" s="123"/>
      <x:c r="E16" s="126"/>
      <x:c r="F16" s="126"/>
      <x:c r="G16" s="126"/>
      <x:c r="H16" s="126"/>
      <x:c r="I16" s="132" t="n">
        <x:f>IF(E16="Да",1,0)+IF(F16="Да",1,0)+IF(G16="Да",1,0)+IF(H16="Да",1,0)</x:f>
        <x:v>0</x:v>
      </x:c>
      <x:c r="J16" s="132" t="str">
        <x:f>IF(I16&gt;=4,"Высокий",IF(I16&gt;=2,"Средний","Низкий"))</x:f>
        <x:v>Низкий</x:v>
      </x:c>
      <x:c r="K16" s="134" t="str">
        <x:v>Новый</x:v>
      </x:c>
      <x:c r="L16" s="123"/>
      <x:c r="M16" s="136"/>
      <x:c r="N16" s="123"/>
    </x:row>
    <x:row r="17" ht="18" customHeight="1">
      <x:c r="A17" s="123"/>
      <x:c r="B17" s="123"/>
      <x:c r="C17" s="123"/>
      <x:c r="D17" s="123"/>
      <x:c r="E17" s="126"/>
      <x:c r="F17" s="126"/>
      <x:c r="G17" s="126"/>
      <x:c r="H17" s="126"/>
      <x:c r="I17" s="132" t="n">
        <x:f>IF(E17="Да",1,0)+IF(F17="Да",1,0)+IF(G17="Да",1,0)+IF(H17="Да",1,0)</x:f>
        <x:v>0</x:v>
      </x:c>
      <x:c r="J17" s="132" t="str">
        <x:f>IF(I17&gt;=4,"Высокий",IF(I17&gt;=2,"Средний","Низкий"))</x:f>
        <x:v>Низкий</x:v>
      </x:c>
      <x:c r="K17" s="134" t="str">
        <x:v>Новый</x:v>
      </x:c>
      <x:c r="L17" s="123"/>
      <x:c r="M17" s="136"/>
      <x:c r="N17" s="123"/>
    </x:row>
    <x:row r="18" ht="18" customHeight="1">
      <x:c r="A18" s="123"/>
      <x:c r="B18" s="123"/>
      <x:c r="C18" s="123"/>
      <x:c r="D18" s="123"/>
      <x:c r="E18" s="126"/>
      <x:c r="F18" s="126"/>
      <x:c r="G18" s="126"/>
      <x:c r="H18" s="126"/>
      <x:c r="I18" s="132" t="n">
        <x:f>IF(E18="Да",1,0)+IF(F18="Да",1,0)+IF(G18="Да",1,0)+IF(H18="Да",1,0)</x:f>
        <x:v>0</x:v>
      </x:c>
      <x:c r="J18" s="132" t="str">
        <x:f>IF(I18&gt;=4,"Высокий",IF(I18&gt;=2,"Средний","Низкий"))</x:f>
        <x:v>Низкий</x:v>
      </x:c>
      <x:c r="K18" s="134" t="str">
        <x:v>Новый</x:v>
      </x:c>
      <x:c r="L18" s="123"/>
      <x:c r="M18" s="136"/>
      <x:c r="N18" s="123"/>
    </x:row>
    <x:row r="19" ht="18" customHeight="1">
      <x:c r="A19" s="123"/>
      <x:c r="B19" s="123"/>
      <x:c r="C19" s="123"/>
      <x:c r="D19" s="123"/>
      <x:c r="E19" s="126"/>
      <x:c r="F19" s="126"/>
      <x:c r="G19" s="126"/>
      <x:c r="H19" s="126"/>
      <x:c r="I19" s="132" t="n">
        <x:f>IF(E19="Да",1,0)+IF(F19="Да",1,0)+IF(G19="Да",1,0)+IF(H19="Да",1,0)</x:f>
        <x:v>0</x:v>
      </x:c>
      <x:c r="J19" s="132" t="str">
        <x:f>IF(I19&gt;=4,"Высокий",IF(I19&gt;=2,"Средний","Низкий"))</x:f>
        <x:v>Низкий</x:v>
      </x:c>
      <x:c r="K19" s="134" t="str">
        <x:v>Новый</x:v>
      </x:c>
      <x:c r="L19" s="123"/>
      <x:c r="M19" s="136"/>
      <x:c r="N19" s="123"/>
    </x:row>
    <x:row r="20" ht="18" customHeight="1">
      <x:c r="A20" s="123"/>
      <x:c r="B20" s="123"/>
      <x:c r="C20" s="123"/>
      <x:c r="D20" s="123"/>
      <x:c r="E20" s="126"/>
      <x:c r="F20" s="126"/>
      <x:c r="G20" s="126"/>
      <x:c r="H20" s="126"/>
      <x:c r="I20" s="132" t="n">
        <x:f>IF(E20="Да",1,0)+IF(F20="Да",1,0)+IF(G20="Да",1,0)+IF(H20="Да",1,0)</x:f>
        <x:v>0</x:v>
      </x:c>
      <x:c r="J20" s="132" t="str">
        <x:f>IF(I20&gt;=4,"Высокий",IF(I20&gt;=2,"Средний","Низкий"))</x:f>
        <x:v>Низкий</x:v>
      </x:c>
      <x:c r="K20" s="134" t="str">
        <x:v>Новый</x:v>
      </x:c>
      <x:c r="L20" s="123"/>
      <x:c r="M20" s="136"/>
      <x:c r="N20" s="123"/>
    </x:row>
    <x:row r="21" ht="18" customHeight="1">
      <x:c r="A21" s="123"/>
      <x:c r="B21" s="123"/>
      <x:c r="C21" s="123"/>
      <x:c r="D21" s="123"/>
      <x:c r="E21" s="126"/>
      <x:c r="F21" s="126"/>
      <x:c r="G21" s="126"/>
      <x:c r="H21" s="126"/>
      <x:c r="I21" s="132" t="n">
        <x:f>IF(E21="Да",1,0)+IF(F21="Да",1,0)+IF(G21="Да",1,0)+IF(H21="Да",1,0)</x:f>
        <x:v>0</x:v>
      </x:c>
      <x:c r="J21" s="132" t="str">
        <x:f>IF(I21&gt;=4,"Высокий",IF(I21&gt;=2,"Средний","Низкий"))</x:f>
        <x:v>Низкий</x:v>
      </x:c>
      <x:c r="K21" s="134" t="str">
        <x:v>Новый</x:v>
      </x:c>
      <x:c r="L21" s="123"/>
      <x:c r="M21" s="136"/>
      <x:c r="N21" s="123"/>
    </x:row>
    <x:row r="22" ht="18" customHeight="1">
      <x:c r="A22" s="123"/>
      <x:c r="B22" s="123"/>
      <x:c r="C22" s="123"/>
      <x:c r="D22" s="123"/>
      <x:c r="E22" s="126"/>
      <x:c r="F22" s="126"/>
      <x:c r="G22" s="126"/>
      <x:c r="H22" s="126"/>
      <x:c r="I22" s="132" t="n">
        <x:f>IF(E22="Да",1,0)+IF(F22="Да",1,0)+IF(G22="Да",1,0)+IF(H22="Да",1,0)</x:f>
        <x:v>0</x:v>
      </x:c>
      <x:c r="J22" s="132" t="str">
        <x:f>IF(I22&gt;=4,"Высокий",IF(I22&gt;=2,"Средний","Низкий"))</x:f>
        <x:v>Низкий</x:v>
      </x:c>
      <x:c r="K22" s="134" t="str">
        <x:v>Новый</x:v>
      </x:c>
      <x:c r="L22" s="123"/>
      <x:c r="M22" s="136"/>
      <x:c r="N22" s="123"/>
    </x:row>
    <x:row r="23" ht="18" customHeight="1">
      <x:c r="A23" s="123"/>
      <x:c r="B23" s="123"/>
      <x:c r="C23" s="123"/>
      <x:c r="D23" s="123"/>
      <x:c r="E23" s="126"/>
      <x:c r="F23" s="126"/>
      <x:c r="G23" s="126"/>
      <x:c r="H23" s="126"/>
      <x:c r="I23" s="132" t="n">
        <x:f>IF(E23="Да",1,0)+IF(F23="Да",1,0)+IF(G23="Да",1,0)+IF(H23="Да",1,0)</x:f>
        <x:v>0</x:v>
      </x:c>
      <x:c r="J23" s="132" t="str">
        <x:f>IF(I23&gt;=4,"Высокий",IF(I23&gt;=2,"Средний","Низкий"))</x:f>
        <x:v>Низкий</x:v>
      </x:c>
      <x:c r="K23" s="134" t="str">
        <x:v>Новый</x:v>
      </x:c>
      <x:c r="L23" s="123"/>
      <x:c r="M23" s="136"/>
      <x:c r="N23" s="123"/>
    </x:row>
    <x:row r="24" ht="18" customHeight="1">
      <x:c r="A24" s="123"/>
      <x:c r="B24" s="123"/>
      <x:c r="C24" s="123"/>
      <x:c r="D24" s="123"/>
      <x:c r="E24" s="126"/>
      <x:c r="F24" s="126"/>
      <x:c r="G24" s="126"/>
      <x:c r="H24" s="126"/>
      <x:c r="I24" s="132" t="n">
        <x:f>IF(E24="Да",1,0)+IF(F24="Да",1,0)+IF(G24="Да",1,0)+IF(H24="Да",1,0)</x:f>
        <x:v>0</x:v>
      </x:c>
      <x:c r="J24" s="132" t="str">
        <x:f>IF(I24&gt;=4,"Высокий",IF(I24&gt;=2,"Средний","Низкий"))</x:f>
        <x:v>Низкий</x:v>
      </x:c>
      <x:c r="K24" s="134" t="str">
        <x:v>Новый</x:v>
      </x:c>
      <x:c r="L24" s="123"/>
      <x:c r="M24" s="136"/>
      <x:c r="N24" s="123"/>
    </x:row>
    <x:row r="25" ht="18" customHeight="1">
      <x:c r="A25" s="123"/>
      <x:c r="B25" s="123"/>
      <x:c r="C25" s="123"/>
      <x:c r="D25" s="123"/>
      <x:c r="E25" s="126"/>
      <x:c r="F25" s="126"/>
      <x:c r="G25" s="126"/>
      <x:c r="H25" s="126"/>
      <x:c r="I25" s="132" t="n">
        <x:f>IF(E25="Да",1,0)+IF(F25="Да",1,0)+IF(G25="Да",1,0)+IF(H25="Да",1,0)</x:f>
        <x:v>0</x:v>
      </x:c>
      <x:c r="J25" s="132" t="str">
        <x:f>IF(I25&gt;=4,"Высокий",IF(I25&gt;=2,"Средний","Низкий"))</x:f>
        <x:v>Низкий</x:v>
      </x:c>
      <x:c r="K25" s="134" t="str">
        <x:v>Новый</x:v>
      </x:c>
      <x:c r="L25" s="123"/>
      <x:c r="M25" s="136"/>
      <x:c r="N25" s="123"/>
    </x:row>
    <x:row r="26" ht="18" customHeight="1">
      <x:c r="A26" s="123"/>
      <x:c r="B26" s="123"/>
      <x:c r="C26" s="123"/>
      <x:c r="D26" s="123"/>
      <x:c r="E26" s="126"/>
      <x:c r="F26" s="126"/>
      <x:c r="G26" s="126"/>
      <x:c r="H26" s="126"/>
      <x:c r="I26" s="132" t="n">
        <x:f>IF(E26="Да",1,0)+IF(F26="Да",1,0)+IF(G26="Да",1,0)+IF(H26="Да",1,0)</x:f>
        <x:v>0</x:v>
      </x:c>
      <x:c r="J26" s="132" t="str">
        <x:f>IF(I26&gt;=4,"Высокий",IF(I26&gt;=2,"Средний","Низкий"))</x:f>
        <x:v>Низкий</x:v>
      </x:c>
      <x:c r="K26" s="134" t="str">
        <x:v>Новый</x:v>
      </x:c>
      <x:c r="L26" s="123"/>
      <x:c r="M26" s="136"/>
      <x:c r="N26" s="123"/>
    </x:row>
    <x:row r="27" ht="18" customHeight="1">
      <x:c r="A27" s="123"/>
      <x:c r="B27" s="123"/>
      <x:c r="C27" s="123"/>
      <x:c r="D27" s="123"/>
      <x:c r="E27" s="126"/>
      <x:c r="F27" s="126"/>
      <x:c r="G27" s="126"/>
      <x:c r="H27" s="126"/>
      <x:c r="I27" s="132" t="n">
        <x:f>IF(E27="Да",1,0)+IF(F27="Да",1,0)+IF(G27="Да",1,0)+IF(H27="Да",1,0)</x:f>
        <x:v>0</x:v>
      </x:c>
      <x:c r="J27" s="132" t="str">
        <x:f>IF(I27&gt;=4,"Высокий",IF(I27&gt;=2,"Средний","Низкий"))</x:f>
        <x:v>Низкий</x:v>
      </x:c>
      <x:c r="K27" s="134" t="str">
        <x:v>Новый</x:v>
      </x:c>
      <x:c r="L27" s="123"/>
      <x:c r="M27" s="136"/>
      <x:c r="N27" s="123"/>
    </x:row>
    <x:row r="28" ht="18" customHeight="1">
      <x:c r="A28" s="123"/>
      <x:c r="B28" s="123"/>
      <x:c r="C28" s="123"/>
      <x:c r="D28" s="123"/>
      <x:c r="E28" s="126"/>
      <x:c r="F28" s="126"/>
      <x:c r="G28" s="126"/>
      <x:c r="H28" s="126"/>
      <x:c r="I28" s="132" t="n">
        <x:f>IF(E28="Да",1,0)+IF(F28="Да",1,0)+IF(G28="Да",1,0)+IF(H28="Да",1,0)</x:f>
        <x:v>0</x:v>
      </x:c>
      <x:c r="J28" s="132" t="str">
        <x:f>IF(I28&gt;=4,"Высокий",IF(I28&gt;=2,"Средний","Низкий"))</x:f>
        <x:v>Низкий</x:v>
      </x:c>
      <x:c r="K28" s="134" t="str">
        <x:v>Новый</x:v>
      </x:c>
      <x:c r="L28" s="123"/>
      <x:c r="M28" s="136"/>
      <x:c r="N28" s="123"/>
    </x:row>
    <x:row r="29" ht="18" customHeight="1">
      <x:c r="A29" s="123"/>
      <x:c r="B29" s="123"/>
      <x:c r="C29" s="123"/>
      <x:c r="D29" s="123"/>
      <x:c r="E29" s="126"/>
      <x:c r="F29" s="126"/>
      <x:c r="G29" s="126"/>
      <x:c r="H29" s="126"/>
      <x:c r="I29" s="132" t="n">
        <x:f>IF(E29="Да",1,0)+IF(F29="Да",1,0)+IF(G29="Да",1,0)+IF(H29="Да",1,0)</x:f>
        <x:v>0</x:v>
      </x:c>
      <x:c r="J29" s="132" t="str">
        <x:f>IF(I29&gt;=4,"Высокий",IF(I29&gt;=2,"Средний","Низкий"))</x:f>
        <x:v>Низкий</x:v>
      </x:c>
      <x:c r="K29" s="134" t="str">
        <x:v>Новый</x:v>
      </x:c>
      <x:c r="L29" s="123"/>
      <x:c r="M29" s="136"/>
      <x:c r="N29" s="123"/>
    </x:row>
    <x:row r="30" ht="18" customHeight="1">
      <x:c r="A30" s="123"/>
      <x:c r="B30" s="123"/>
      <x:c r="C30" s="123"/>
      <x:c r="D30" s="123"/>
      <x:c r="E30" s="126"/>
      <x:c r="F30" s="126"/>
      <x:c r="G30" s="126"/>
      <x:c r="H30" s="126"/>
      <x:c r="I30" s="132" t="n">
        <x:f>IF(E30="Да",1,0)+IF(F30="Да",1,0)+IF(G30="Да",1,0)+IF(H30="Да",1,0)</x:f>
        <x:v>0</x:v>
      </x:c>
      <x:c r="J30" s="132" t="str">
        <x:f>IF(I30&gt;=4,"Высокий",IF(I30&gt;=2,"Средний","Низкий"))</x:f>
        <x:v>Низкий</x:v>
      </x:c>
      <x:c r="K30" s="134" t="str">
        <x:v>Новый</x:v>
      </x:c>
      <x:c r="L30" s="123"/>
      <x:c r="M30" s="136"/>
      <x:c r="N30" s="123"/>
    </x:row>
    <x:row r="31" ht="18" customHeight="1">
      <x:c r="A31" s="123"/>
      <x:c r="B31" s="123"/>
      <x:c r="C31" s="123"/>
      <x:c r="D31" s="123"/>
      <x:c r="E31" s="126"/>
      <x:c r="F31" s="126"/>
      <x:c r="G31" s="126"/>
      <x:c r="H31" s="126"/>
      <x:c r="I31" s="132" t="n">
        <x:f>IF(E31="Да",1,0)+IF(F31="Да",1,0)+IF(G31="Да",1,0)+IF(H31="Да",1,0)</x:f>
        <x:v>0</x:v>
      </x:c>
      <x:c r="J31" s="132" t="str">
        <x:f>IF(I31&gt;=4,"Высокий",IF(I31&gt;=2,"Средний","Низкий"))</x:f>
        <x:v>Низкий</x:v>
      </x:c>
      <x:c r="K31" s="134" t="str">
        <x:v>Новый</x:v>
      </x:c>
      <x:c r="L31" s="123"/>
      <x:c r="M31" s="136"/>
      <x:c r="N31" s="123"/>
    </x:row>
    <x:row r="32" ht="18" customHeight="1">
      <x:c r="A32" s="123"/>
      <x:c r="B32" s="123"/>
      <x:c r="C32" s="123"/>
      <x:c r="D32" s="123"/>
      <x:c r="E32" s="126"/>
      <x:c r="F32" s="126"/>
      <x:c r="G32" s="126"/>
      <x:c r="H32" s="126"/>
      <x:c r="I32" s="132" t="n">
        <x:f>IF(E32="Да",1,0)+IF(F32="Да",1,0)+IF(G32="Да",1,0)+IF(H32="Да",1,0)</x:f>
        <x:v>0</x:v>
      </x:c>
      <x:c r="J32" s="132" t="str">
        <x:f>IF(I32&gt;=4,"Высокий",IF(I32&gt;=2,"Средний","Низкий"))</x:f>
        <x:v>Низкий</x:v>
      </x:c>
      <x:c r="K32" s="134" t="str">
        <x:v>Новый</x:v>
      </x:c>
      <x:c r="L32" s="123"/>
      <x:c r="M32" s="136"/>
      <x:c r="N32" s="123"/>
    </x:row>
    <x:row r="33" ht="18" customHeight="1">
      <x:c r="A33" s="123"/>
      <x:c r="B33" s="123"/>
      <x:c r="C33" s="123"/>
      <x:c r="D33" s="123"/>
      <x:c r="E33" s="126"/>
      <x:c r="F33" s="126"/>
      <x:c r="G33" s="126"/>
      <x:c r="H33" s="126"/>
      <x:c r="I33" s="132" t="n">
        <x:f>IF(E33="Да",1,0)+IF(F33="Да",1,0)+IF(G33="Да",1,0)+IF(H33="Да",1,0)</x:f>
        <x:v>0</x:v>
      </x:c>
      <x:c r="J33" s="132" t="str">
        <x:f>IF(I33&gt;=4,"Высокий",IF(I33&gt;=2,"Средний","Низкий"))</x:f>
        <x:v>Низкий</x:v>
      </x:c>
      <x:c r="K33" s="134" t="str">
        <x:v>Новый</x:v>
      </x:c>
      <x:c r="L33" s="123"/>
      <x:c r="M33" s="136"/>
      <x:c r="N33" s="123"/>
    </x:row>
    <x:row r="34" ht="18" customHeight="1">
      <x:c r="A34" s="123"/>
      <x:c r="B34" s="123"/>
      <x:c r="C34" s="123"/>
      <x:c r="D34" s="123"/>
      <x:c r="E34" s="126"/>
      <x:c r="F34" s="126"/>
      <x:c r="G34" s="126"/>
      <x:c r="H34" s="126"/>
      <x:c r="I34" s="132" t="n">
        <x:f>IF(E34="Да",1,0)+IF(F34="Да",1,0)+IF(G34="Да",1,0)+IF(H34="Да",1,0)</x:f>
        <x:v>0</x:v>
      </x:c>
      <x:c r="J34" s="132" t="str">
        <x:f>IF(I34&gt;=4,"Высокий",IF(I34&gt;=2,"Средний","Низкий"))</x:f>
        <x:v>Низкий</x:v>
      </x:c>
      <x:c r="K34" s="134" t="str">
        <x:v>Новый</x:v>
      </x:c>
      <x:c r="L34" s="123"/>
      <x:c r="M34" s="136"/>
      <x:c r="N34" s="123"/>
    </x:row>
    <x:row r="35" ht="18" customHeight="1">
      <x:c r="A35" s="123"/>
      <x:c r="B35" s="123"/>
      <x:c r="C35" s="123"/>
      <x:c r="D35" s="123"/>
      <x:c r="E35" s="126"/>
      <x:c r="F35" s="126"/>
      <x:c r="G35" s="126"/>
      <x:c r="H35" s="126"/>
      <x:c r="I35" s="132" t="n">
        <x:f>IF(E35="Да",1,0)+IF(F35="Да",1,0)+IF(G35="Да",1,0)+IF(H35="Да",1,0)</x:f>
        <x:v>0</x:v>
      </x:c>
      <x:c r="J35" s="132" t="str">
        <x:f>IF(I35&gt;=4,"Высокий",IF(I35&gt;=2,"Средний","Низкий"))</x:f>
        <x:v>Низкий</x:v>
      </x:c>
      <x:c r="K35" s="134" t="str">
        <x:v>Новый</x:v>
      </x:c>
      <x:c r="L35" s="123"/>
      <x:c r="M35" s="136"/>
      <x:c r="N35" s="123"/>
    </x:row>
    <x:row r="36" ht="18" customHeight="1">
      <x:c r="A36" s="123"/>
      <x:c r="B36" s="123"/>
      <x:c r="C36" s="123"/>
      <x:c r="D36" s="123"/>
      <x:c r="E36" s="126"/>
      <x:c r="F36" s="126"/>
      <x:c r="G36" s="126"/>
      <x:c r="H36" s="126"/>
      <x:c r="I36" s="132" t="n">
        <x:f>IF(E36="Да",1,0)+IF(F36="Да",1,0)+IF(G36="Да",1,0)+IF(H36="Да",1,0)</x:f>
        <x:v>0</x:v>
      </x:c>
      <x:c r="J36" s="132" t="str">
        <x:f>IF(I36&gt;=4,"Высокий",IF(I36&gt;=2,"Средний","Низкий"))</x:f>
        <x:v>Низкий</x:v>
      </x:c>
      <x:c r="K36" s="134" t="str">
        <x:v>Новый</x:v>
      </x:c>
      <x:c r="L36" s="123"/>
      <x:c r="M36" s="136"/>
      <x:c r="N36" s="123"/>
    </x:row>
    <x:row r="37" ht="18" customHeight="1">
      <x:c r="A37" s="123"/>
      <x:c r="B37" s="123"/>
      <x:c r="C37" s="123"/>
      <x:c r="D37" s="123"/>
      <x:c r="E37" s="126"/>
      <x:c r="F37" s="126"/>
      <x:c r="G37" s="126"/>
      <x:c r="H37" s="126"/>
      <x:c r="I37" s="132" t="n">
        <x:f>IF(E37="Да",1,0)+IF(F37="Да",1,0)+IF(G37="Да",1,0)+IF(H37="Да",1,0)</x:f>
        <x:v>0</x:v>
      </x:c>
      <x:c r="J37" s="132" t="str">
        <x:f>IF(I37&gt;=4,"Высокий",IF(I37&gt;=2,"Средний","Низкий"))</x:f>
        <x:v>Низкий</x:v>
      </x:c>
      <x:c r="K37" s="134" t="str">
        <x:v>Новый</x:v>
      </x:c>
      <x:c r="L37" s="123"/>
      <x:c r="M37" s="136"/>
      <x:c r="N37" s="123"/>
    </x:row>
    <x:row r="38" ht="18" customHeight="1">
      <x:c r="A38" s="123"/>
      <x:c r="B38" s="123"/>
      <x:c r="C38" s="123"/>
      <x:c r="D38" s="123"/>
      <x:c r="E38" s="126"/>
      <x:c r="F38" s="126"/>
      <x:c r="G38" s="126"/>
      <x:c r="H38" s="126"/>
      <x:c r="I38" s="132" t="n">
        <x:f>IF(E38="Да",1,0)+IF(F38="Да",1,0)+IF(G38="Да",1,0)+IF(H38="Да",1,0)</x:f>
        <x:v>0</x:v>
      </x:c>
      <x:c r="J38" s="132" t="str">
        <x:f>IF(I38&gt;=4,"Высокий",IF(I38&gt;=2,"Средний","Низкий"))</x:f>
        <x:v>Низкий</x:v>
      </x:c>
      <x:c r="K38" s="134" t="str">
        <x:v>Новый</x:v>
      </x:c>
      <x:c r="L38" s="123"/>
      <x:c r="M38" s="136"/>
      <x:c r="N38" s="123"/>
    </x:row>
    <x:row r="39" ht="18" customHeight="1">
      <x:c r="A39" s="123"/>
      <x:c r="B39" s="123"/>
      <x:c r="C39" s="123"/>
      <x:c r="D39" s="123"/>
      <x:c r="E39" s="126"/>
      <x:c r="F39" s="126"/>
      <x:c r="G39" s="126"/>
      <x:c r="H39" s="126"/>
      <x:c r="I39" s="132" t="n">
        <x:f>IF(E39="Да",1,0)+IF(F39="Да",1,0)+IF(G39="Да",1,0)+IF(H39="Да",1,0)</x:f>
        <x:v>0</x:v>
      </x:c>
      <x:c r="J39" s="132" t="str">
        <x:f>IF(I39&gt;=4,"Высокий",IF(I39&gt;=2,"Средний","Низкий"))</x:f>
        <x:v>Низкий</x:v>
      </x:c>
      <x:c r="K39" s="134" t="str">
        <x:v>Новый</x:v>
      </x:c>
      <x:c r="L39" s="123"/>
      <x:c r="M39" s="136"/>
      <x:c r="N39" s="123"/>
    </x:row>
    <x:row r="40" ht="18" customHeight="1">
      <x:c r="A40" s="123"/>
      <x:c r="B40" s="123"/>
      <x:c r="C40" s="123"/>
      <x:c r="D40" s="123"/>
      <x:c r="E40" s="126"/>
      <x:c r="F40" s="126"/>
      <x:c r="G40" s="126"/>
      <x:c r="H40" s="126"/>
      <x:c r="I40" s="132" t="n">
        <x:f>IF(E40="Да",1,0)+IF(F40="Да",1,0)+IF(G40="Да",1,0)+IF(H40="Да",1,0)</x:f>
        <x:v>0</x:v>
      </x:c>
      <x:c r="J40" s="132" t="str">
        <x:f>IF(I40&gt;=4,"Высокий",IF(I40&gt;=2,"Средний","Низкий"))</x:f>
        <x:v>Низкий</x:v>
      </x:c>
      <x:c r="K40" s="134" t="str">
        <x:v>Новый</x:v>
      </x:c>
      <x:c r="L40" s="123"/>
      <x:c r="M40" s="136"/>
      <x:c r="N40" s="123"/>
    </x:row>
    <x:row r="41" ht="18" customHeight="1">
      <x:c r="A41" s="123"/>
      <x:c r="B41" s="123"/>
      <x:c r="C41" s="123"/>
      <x:c r="D41" s="123"/>
      <x:c r="E41" s="126"/>
      <x:c r="F41" s="126"/>
      <x:c r="G41" s="126"/>
      <x:c r="H41" s="126"/>
      <x:c r="I41" s="132" t="n">
        <x:f>IF(E41="Да",1,0)+IF(F41="Да",1,0)+IF(G41="Да",1,0)+IF(H41="Да",1,0)</x:f>
        <x:v>0</x:v>
      </x:c>
      <x:c r="J41" s="132" t="str">
        <x:f>IF(I41&gt;=4,"Высокий",IF(I41&gt;=2,"Средний","Низкий"))</x:f>
        <x:v>Низкий</x:v>
      </x:c>
      <x:c r="K41" s="134" t="str">
        <x:v>Новый</x:v>
      </x:c>
      <x:c r="L41" s="123"/>
      <x:c r="M41" s="136"/>
      <x:c r="N41" s="123"/>
    </x:row>
    <x:row r="42" ht="18" customHeight="1">
      <x:c r="A42" s="123"/>
      <x:c r="B42" s="123"/>
      <x:c r="C42" s="123"/>
      <x:c r="D42" s="123"/>
      <x:c r="E42" s="126"/>
      <x:c r="F42" s="126"/>
      <x:c r="G42" s="126"/>
      <x:c r="H42" s="126"/>
      <x:c r="I42" s="132" t="n">
        <x:f>IF(E42="Да",1,0)+IF(F42="Да",1,0)+IF(G42="Да",1,0)+IF(H42="Да",1,0)</x:f>
        <x:v>0</x:v>
      </x:c>
      <x:c r="J42" s="132" t="str">
        <x:f>IF(I42&gt;=4,"Высокий",IF(I42&gt;=2,"Средний","Низкий"))</x:f>
        <x:v>Низкий</x:v>
      </x:c>
      <x:c r="K42" s="134" t="str">
        <x:v>Новый</x:v>
      </x:c>
      <x:c r="L42" s="123"/>
      <x:c r="M42" s="136"/>
      <x:c r="N42" s="123"/>
    </x:row>
    <x:row r="43" ht="18" customHeight="1">
      <x:c r="A43" s="123"/>
      <x:c r="B43" s="123"/>
      <x:c r="C43" s="123"/>
      <x:c r="D43" s="123"/>
      <x:c r="E43" s="126"/>
      <x:c r="F43" s="126"/>
      <x:c r="G43" s="126"/>
      <x:c r="H43" s="126"/>
      <x:c r="I43" s="132" t="n">
        <x:f>IF(E43="Да",1,0)+IF(F43="Да",1,0)+IF(G43="Да",1,0)+IF(H43="Да",1,0)</x:f>
        <x:v>0</x:v>
      </x:c>
      <x:c r="J43" s="132" t="str">
        <x:f>IF(I43&gt;=4,"Высокий",IF(I43&gt;=2,"Средний","Низкий"))</x:f>
        <x:v>Низкий</x:v>
      </x:c>
      <x:c r="K43" s="134" t="str">
        <x:v>Новый</x:v>
      </x:c>
      <x:c r="L43" s="123"/>
      <x:c r="M43" s="136"/>
      <x:c r="N43" s="123"/>
    </x:row>
    <x:row r="44" ht="18" customHeight="1">
      <x:c r="A44" s="123"/>
      <x:c r="B44" s="123"/>
      <x:c r="C44" s="123"/>
      <x:c r="D44" s="123"/>
      <x:c r="E44" s="126"/>
      <x:c r="F44" s="126"/>
      <x:c r="G44" s="126"/>
      <x:c r="H44" s="126"/>
      <x:c r="I44" s="132" t="n">
        <x:f>IF(E44="Да",1,0)+IF(F44="Да",1,0)+IF(G44="Да",1,0)+IF(H44="Да",1,0)</x:f>
        <x:v>0</x:v>
      </x:c>
      <x:c r="J44" s="132" t="str">
        <x:f>IF(I44&gt;=4,"Высокий",IF(I44&gt;=2,"Средний","Низкий"))</x:f>
        <x:v>Низкий</x:v>
      </x:c>
      <x:c r="K44" s="134" t="str">
        <x:v>Новый</x:v>
      </x:c>
      <x:c r="L44" s="123"/>
      <x:c r="M44" s="136"/>
      <x:c r="N44" s="123"/>
    </x:row>
    <x:row r="45" ht="18" customHeight="1">
      <x:c r="A45" s="123"/>
      <x:c r="B45" s="123"/>
      <x:c r="C45" s="123"/>
      <x:c r="D45" s="123"/>
      <x:c r="E45" s="126"/>
      <x:c r="F45" s="126"/>
      <x:c r="G45" s="126"/>
      <x:c r="H45" s="126"/>
      <x:c r="I45" s="132" t="n">
        <x:f>IF(E45="Да",1,0)+IF(F45="Да",1,0)+IF(G45="Да",1,0)+IF(H45="Да",1,0)</x:f>
        <x:v>0</x:v>
      </x:c>
      <x:c r="J45" s="132" t="str">
        <x:f>IF(I45&gt;=4,"Высокий",IF(I45&gt;=2,"Средний","Низкий"))</x:f>
        <x:v>Низкий</x:v>
      </x:c>
      <x:c r="K45" s="134" t="str">
        <x:v>Новый</x:v>
      </x:c>
      <x:c r="L45" s="123"/>
      <x:c r="M45" s="136"/>
      <x:c r="N45" s="123"/>
    </x:row>
    <x:row r="46" ht="18" customHeight="1">
      <x:c r="A46" s="123"/>
      <x:c r="B46" s="123"/>
      <x:c r="C46" s="123"/>
      <x:c r="D46" s="123"/>
      <x:c r="E46" s="126"/>
      <x:c r="F46" s="126"/>
      <x:c r="G46" s="126"/>
      <x:c r="H46" s="126"/>
      <x:c r="I46" s="132" t="n">
        <x:f>IF(E46="Да",1,0)+IF(F46="Да",1,0)+IF(G46="Да",1,0)+IF(H46="Да",1,0)</x:f>
        <x:v>0</x:v>
      </x:c>
      <x:c r="J46" s="132" t="str">
        <x:f>IF(I46&gt;=4,"Высокий",IF(I46&gt;=2,"Средний","Низкий"))</x:f>
        <x:v>Низкий</x:v>
      </x:c>
      <x:c r="K46" s="134" t="str">
        <x:v>Новый</x:v>
      </x:c>
      <x:c r="L46" s="123"/>
      <x:c r="M46" s="136"/>
      <x:c r="N46" s="123"/>
    </x:row>
    <x:row r="47" ht="18" customHeight="1">
      <x:c r="A47" s="123"/>
      <x:c r="B47" s="123"/>
      <x:c r="C47" s="123"/>
      <x:c r="D47" s="123"/>
      <x:c r="E47" s="126"/>
      <x:c r="F47" s="126"/>
      <x:c r="G47" s="126"/>
      <x:c r="H47" s="126"/>
      <x:c r="I47" s="132" t="n">
        <x:f>IF(E47="Да",1,0)+IF(F47="Да",1,0)+IF(G47="Да",1,0)+IF(H47="Да",1,0)</x:f>
        <x:v>0</x:v>
      </x:c>
      <x:c r="J47" s="132" t="str">
        <x:f>IF(I47&gt;=4,"Высокий",IF(I47&gt;=2,"Средний","Низкий"))</x:f>
        <x:v>Низкий</x:v>
      </x:c>
      <x:c r="K47" s="134" t="str">
        <x:v>Новый</x:v>
      </x:c>
      <x:c r="L47" s="123"/>
      <x:c r="M47" s="136"/>
      <x:c r="N47" s="123"/>
    </x:row>
    <x:row r="48" ht="18" customHeight="1">
      <x:c r="A48" s="123"/>
      <x:c r="B48" s="123"/>
      <x:c r="C48" s="123"/>
      <x:c r="D48" s="123"/>
      <x:c r="E48" s="126"/>
      <x:c r="F48" s="126"/>
      <x:c r="G48" s="126"/>
      <x:c r="H48" s="126"/>
      <x:c r="I48" s="132" t="n">
        <x:f>IF(E48="Да",1,0)+IF(F48="Да",1,0)+IF(G48="Да",1,0)+IF(H48="Да",1,0)</x:f>
        <x:v>0</x:v>
      </x:c>
      <x:c r="J48" s="132" t="str">
        <x:f>IF(I48&gt;=4,"Высокий",IF(I48&gt;=2,"Средний","Низкий"))</x:f>
        <x:v>Низкий</x:v>
      </x:c>
      <x:c r="K48" s="134" t="str">
        <x:v>Новый</x:v>
      </x:c>
      <x:c r="L48" s="123"/>
      <x:c r="M48" s="136"/>
      <x:c r="N48" s="123"/>
    </x:row>
    <x:row r="49" ht="18" customHeight="1">
      <x:c r="A49" s="123"/>
      <x:c r="B49" s="123"/>
      <x:c r="C49" s="123"/>
      <x:c r="D49" s="123"/>
      <x:c r="E49" s="126"/>
      <x:c r="F49" s="126"/>
      <x:c r="G49" s="126"/>
      <x:c r="H49" s="126"/>
      <x:c r="I49" s="132" t="n">
        <x:f>IF(E49="Да",1,0)+IF(F49="Да",1,0)+IF(G49="Да",1,0)+IF(H49="Да",1,0)</x:f>
        <x:v>0</x:v>
      </x:c>
      <x:c r="J49" s="132" t="str">
        <x:f>IF(I49&gt;=4,"Высокий",IF(I49&gt;=2,"Средний","Низкий"))</x:f>
        <x:v>Низкий</x:v>
      </x:c>
      <x:c r="K49" s="134" t="str">
        <x:v>Новый</x:v>
      </x:c>
      <x:c r="L49" s="123"/>
      <x:c r="M49" s="136"/>
      <x:c r="N49" s="123"/>
    </x:row>
    <x:row r="50" ht="18" customHeight="1">
      <x:c r="A50" s="123"/>
      <x:c r="B50" s="123"/>
      <x:c r="C50" s="123"/>
      <x:c r="D50" s="123"/>
      <x:c r="E50" s="126"/>
      <x:c r="F50" s="126"/>
      <x:c r="G50" s="126"/>
      <x:c r="H50" s="126"/>
      <x:c r="I50" s="132" t="n">
        <x:f>IF(E50="Да",1,0)+IF(F50="Да",1,0)+IF(G50="Да",1,0)+IF(H50="Да",1,0)</x:f>
        <x:v>0</x:v>
      </x:c>
      <x:c r="J50" s="132" t="str">
        <x:f>IF(I50&gt;=4,"Высокий",IF(I50&gt;=2,"Средний","Низкий"))</x:f>
        <x:v>Низкий</x:v>
      </x:c>
      <x:c r="K50" s="134" t="str">
        <x:v>Новый</x:v>
      </x:c>
      <x:c r="L50" s="123"/>
      <x:c r="M50" s="136"/>
      <x:c r="N50" s="123"/>
    </x:row>
    <x:row r="51" ht="18" customHeight="1">
      <x:c r="A51" s="123"/>
      <x:c r="B51" s="123"/>
      <x:c r="C51" s="123"/>
      <x:c r="D51" s="123"/>
      <x:c r="E51" s="126"/>
      <x:c r="F51" s="126"/>
      <x:c r="G51" s="126"/>
      <x:c r="H51" s="126"/>
      <x:c r="I51" s="132" t="n">
        <x:f>IF(E51="Да",1,0)+IF(F51="Да",1,0)+IF(G51="Да",1,0)+IF(H51="Да",1,0)</x:f>
        <x:v>0</x:v>
      </x:c>
      <x:c r="J51" s="132" t="str">
        <x:f>IF(I51&gt;=4,"Высокий",IF(I51&gt;=2,"Средний","Низкий"))</x:f>
        <x:v>Низкий</x:v>
      </x:c>
      <x:c r="K51" s="134" t="str">
        <x:v>Новый</x:v>
      </x:c>
      <x:c r="L51" s="123"/>
      <x:c r="M51" s="136"/>
      <x:c r="N51" s="123"/>
    </x:row>
    <x:row r="52" ht="18" customHeight="1">
      <x:c r="A52" s="123"/>
      <x:c r="B52" s="123"/>
      <x:c r="C52" s="123"/>
      <x:c r="D52" s="123"/>
      <x:c r="E52" s="126"/>
      <x:c r="F52" s="126"/>
      <x:c r="G52" s="126"/>
      <x:c r="H52" s="126"/>
      <x:c r="I52" s="132" t="n">
        <x:f>IF(E52="Да",1,0)+IF(F52="Да",1,0)+IF(G52="Да",1,0)+IF(H52="Да",1,0)</x:f>
        <x:v>0</x:v>
      </x:c>
      <x:c r="J52" s="132" t="str">
        <x:f>IF(I52&gt;=4,"Высокий",IF(I52&gt;=2,"Средний","Низкий"))</x:f>
        <x:v>Низкий</x:v>
      </x:c>
      <x:c r="K52" s="134" t="str">
        <x:v>Новый</x:v>
      </x:c>
      <x:c r="L52" s="123"/>
      <x:c r="M52" s="136"/>
      <x:c r="N52" s="123"/>
    </x:row>
    <x:row r="53" ht="18" customHeight="1">
      <x:c r="A53" s="123"/>
      <x:c r="B53" s="123"/>
      <x:c r="C53" s="123"/>
      <x:c r="D53" s="123"/>
      <x:c r="E53" s="126"/>
      <x:c r="F53" s="126"/>
      <x:c r="G53" s="126"/>
      <x:c r="H53" s="126"/>
      <x:c r="I53" s="132" t="n">
        <x:f>IF(E53="Да",1,0)+IF(F53="Да",1,0)+IF(G53="Да",1,0)+IF(H53="Да",1,0)</x:f>
        <x:v>0</x:v>
      </x:c>
      <x:c r="J53" s="132" t="str">
        <x:f>IF(I53&gt;=4,"Высокий",IF(I53&gt;=2,"Средний","Низкий"))</x:f>
        <x:v>Низкий</x:v>
      </x:c>
      <x:c r="K53" s="134" t="str">
        <x:v>Новый</x:v>
      </x:c>
      <x:c r="L53" s="123"/>
      <x:c r="M53" s="136"/>
      <x:c r="N53" s="123"/>
    </x:row>
    <x:row r="54" ht="18" customHeight="1">
      <x:c r="A54" s="123"/>
      <x:c r="B54" s="123"/>
      <x:c r="C54" s="123"/>
      <x:c r="D54" s="123"/>
      <x:c r="E54" s="126"/>
      <x:c r="F54" s="126"/>
      <x:c r="G54" s="126"/>
      <x:c r="H54" s="126"/>
      <x:c r="I54" s="132" t="n">
        <x:f>IF(E54="Да",1,0)+IF(F54="Да",1,0)+IF(G54="Да",1,0)+IF(H54="Да",1,0)</x:f>
        <x:v>0</x:v>
      </x:c>
      <x:c r="J54" s="132" t="str">
        <x:f>IF(I54&gt;=4,"Высокий",IF(I54&gt;=2,"Средний","Низкий"))</x:f>
        <x:v>Низкий</x:v>
      </x:c>
      <x:c r="K54" s="134" t="str">
        <x:v>Новый</x:v>
      </x:c>
      <x:c r="L54" s="123"/>
      <x:c r="M54" s="136"/>
      <x:c r="N54" s="123"/>
    </x:row>
    <x:row r="55" ht="18" customHeight="1">
      <x:c r="A55" s="123"/>
      <x:c r="B55" s="123"/>
      <x:c r="C55" s="123"/>
      <x:c r="D55" s="123"/>
      <x:c r="E55" s="126"/>
      <x:c r="F55" s="126"/>
      <x:c r="G55" s="126"/>
      <x:c r="H55" s="126"/>
      <x:c r="I55" s="132" t="n">
        <x:f>IF(E55="Да",1,0)+IF(F55="Да",1,0)+IF(G55="Да",1,0)+IF(H55="Да",1,0)</x:f>
        <x:v>0</x:v>
      </x:c>
      <x:c r="J55" s="132" t="str">
        <x:f>IF(I55&gt;=4,"Высокий",IF(I55&gt;=2,"Средний","Низкий"))</x:f>
        <x:v>Низкий</x:v>
      </x:c>
      <x:c r="K55" s="134" t="str">
        <x:v>Новый</x:v>
      </x:c>
      <x:c r="L55" s="123"/>
      <x:c r="M55" s="136"/>
      <x:c r="N55" s="123"/>
    </x:row>
    <x:row r="56" ht="18" customHeight="1">
      <x:c r="A56" s="123"/>
      <x:c r="B56" s="123"/>
      <x:c r="C56" s="123"/>
      <x:c r="D56" s="123"/>
      <x:c r="E56" s="126"/>
      <x:c r="F56" s="126"/>
      <x:c r="G56" s="126"/>
      <x:c r="H56" s="126"/>
      <x:c r="I56" s="132" t="n">
        <x:f>IF(E56="Да",1,0)+IF(F56="Да",1,0)+IF(G56="Да",1,0)+IF(H56="Да",1,0)</x:f>
        <x:v>0</x:v>
      </x:c>
      <x:c r="J56" s="132" t="str">
        <x:f>IF(I56&gt;=4,"Высокий",IF(I56&gt;=2,"Средний","Низкий"))</x:f>
        <x:v>Низкий</x:v>
      </x:c>
      <x:c r="K56" s="134" t="str">
        <x:v>Новый</x:v>
      </x:c>
      <x:c r="L56" s="123"/>
      <x:c r="M56" s="136"/>
      <x:c r="N56" s="123"/>
    </x:row>
    <x:row r="57" ht="18" customHeight="1">
      <x:c r="A57" s="123"/>
      <x:c r="B57" s="123"/>
      <x:c r="C57" s="123"/>
      <x:c r="D57" s="123"/>
      <x:c r="E57" s="126"/>
      <x:c r="F57" s="126"/>
      <x:c r="G57" s="126"/>
      <x:c r="H57" s="126"/>
      <x:c r="I57" s="132" t="n">
        <x:f>IF(E57="Да",1,0)+IF(F57="Да",1,0)+IF(G57="Да",1,0)+IF(H57="Да",1,0)</x:f>
        <x:v>0</x:v>
      </x:c>
      <x:c r="J57" s="132" t="str">
        <x:f>IF(I57&gt;=4,"Высокий",IF(I57&gt;=2,"Средний","Низкий"))</x:f>
        <x:v>Низкий</x:v>
      </x:c>
      <x:c r="K57" s="134" t="str">
        <x:v>Новый</x:v>
      </x:c>
      <x:c r="L57" s="123"/>
      <x:c r="M57" s="136"/>
      <x:c r="N57" s="123"/>
    </x:row>
    <x:row r="58" ht="18" customHeight="1">
      <x:c r="A58" s="123"/>
      <x:c r="B58" s="123"/>
      <x:c r="C58" s="123"/>
      <x:c r="D58" s="123"/>
      <x:c r="E58" s="126"/>
      <x:c r="F58" s="126"/>
      <x:c r="G58" s="126"/>
      <x:c r="H58" s="126"/>
      <x:c r="I58" s="132" t="n">
        <x:f>IF(E58="Да",1,0)+IF(F58="Да",1,0)+IF(G58="Да",1,0)+IF(H58="Да",1,0)</x:f>
        <x:v>0</x:v>
      </x:c>
      <x:c r="J58" s="132" t="str">
        <x:f>IF(I58&gt;=4,"Высокий",IF(I58&gt;=2,"Средний","Низкий"))</x:f>
        <x:v>Низкий</x:v>
      </x:c>
      <x:c r="K58" s="134" t="str">
        <x:v>Новый</x:v>
      </x:c>
      <x:c r="L58" s="123"/>
      <x:c r="M58" s="136"/>
      <x:c r="N58" s="123"/>
    </x:row>
    <x:row r="59" ht="18" customHeight="1">
      <x:c r="A59" s="123"/>
      <x:c r="B59" s="123"/>
      <x:c r="C59" s="123"/>
      <x:c r="D59" s="123"/>
      <x:c r="E59" s="126"/>
      <x:c r="F59" s="126"/>
      <x:c r="G59" s="126"/>
      <x:c r="H59" s="126"/>
      <x:c r="I59" s="132" t="n">
        <x:f>IF(E59="Да",1,0)+IF(F59="Да",1,0)+IF(G59="Да",1,0)+IF(H59="Да",1,0)</x:f>
        <x:v>0</x:v>
      </x:c>
      <x:c r="J59" s="132" t="str">
        <x:f>IF(I59&gt;=4,"Высокий",IF(I59&gt;=2,"Средний","Низкий"))</x:f>
        <x:v>Низкий</x:v>
      </x:c>
      <x:c r="K59" s="134" t="str">
        <x:v>Новый</x:v>
      </x:c>
      <x:c r="L59" s="123"/>
      <x:c r="M59" s="136"/>
      <x:c r="N59" s="123"/>
    </x:row>
    <x:row r="60" ht="18" customHeight="1">
      <x:c r="A60" s="123"/>
      <x:c r="B60" s="123"/>
      <x:c r="C60" s="123"/>
      <x:c r="D60" s="123"/>
      <x:c r="E60" s="126"/>
      <x:c r="F60" s="126"/>
      <x:c r="G60" s="126"/>
      <x:c r="H60" s="126"/>
      <x:c r="I60" s="132" t="n">
        <x:f>IF(E60="Да",1,0)+IF(F60="Да",1,0)+IF(G60="Да",1,0)+IF(H60="Да",1,0)</x:f>
        <x:v>0</x:v>
      </x:c>
      <x:c r="J60" s="132" t="str">
        <x:f>IF(I60&gt;=4,"Высокий",IF(I60&gt;=2,"Средний","Низкий"))</x:f>
        <x:v>Низкий</x:v>
      </x:c>
      <x:c r="K60" s="134" t="str">
        <x:v>Новый</x:v>
      </x:c>
      <x:c r="L60" s="123"/>
      <x:c r="M60" s="136"/>
      <x:c r="N60" s="123"/>
    </x:row>
    <x:row r="61" ht="18" customHeight="1">
      <x:c r="A61" s="123"/>
      <x:c r="B61" s="123"/>
      <x:c r="C61" s="123"/>
      <x:c r="D61" s="123"/>
      <x:c r="E61" s="126"/>
      <x:c r="F61" s="126"/>
      <x:c r="G61" s="126"/>
      <x:c r="H61" s="126"/>
      <x:c r="I61" s="132" t="n">
        <x:f>IF(E61="Да",1,0)+IF(F61="Да",1,0)+IF(G61="Да",1,0)+IF(H61="Да",1,0)</x:f>
        <x:v>0</x:v>
      </x:c>
      <x:c r="J61" s="132" t="str">
        <x:f>IF(I61&gt;=4,"Высокий",IF(I61&gt;=2,"Средний","Низкий"))</x:f>
        <x:v>Низкий</x:v>
      </x:c>
      <x:c r="K61" s="134" t="str">
        <x:v>Новый</x:v>
      </x:c>
      <x:c r="L61" s="123"/>
      <x:c r="M61" s="136"/>
      <x:c r="N61" s="123"/>
    </x:row>
    <x:row r="62" ht="18" customHeight="1">
      <x:c r="A62" s="123"/>
      <x:c r="B62" s="123"/>
      <x:c r="C62" s="123"/>
      <x:c r="D62" s="123"/>
      <x:c r="E62" s="126"/>
      <x:c r="F62" s="126"/>
      <x:c r="G62" s="126"/>
      <x:c r="H62" s="126"/>
      <x:c r="I62" s="132" t="n">
        <x:f>IF(E62="Да",1,0)+IF(F62="Да",1,0)+IF(G62="Да",1,0)+IF(H62="Да",1,0)</x:f>
        <x:v>0</x:v>
      </x:c>
      <x:c r="J62" s="132" t="str">
        <x:f>IF(I62&gt;=4,"Высокий",IF(I62&gt;=2,"Средний","Низкий"))</x:f>
        <x:v>Низкий</x:v>
      </x:c>
      <x:c r="K62" s="134" t="str">
        <x:v>Новый</x:v>
      </x:c>
      <x:c r="L62" s="123"/>
      <x:c r="M62" s="136"/>
      <x:c r="N62" s="123"/>
    </x:row>
    <x:row r="63" ht="18" customHeight="1">
      <x:c r="A63" s="123"/>
      <x:c r="B63" s="123"/>
      <x:c r="C63" s="123"/>
      <x:c r="D63" s="123"/>
      <x:c r="E63" s="126"/>
      <x:c r="F63" s="126"/>
      <x:c r="G63" s="126"/>
      <x:c r="H63" s="126"/>
      <x:c r="I63" s="132" t="n">
        <x:f>IF(E63="Да",1,0)+IF(F63="Да",1,0)+IF(G63="Да",1,0)+IF(H63="Да",1,0)</x:f>
        <x:v>0</x:v>
      </x:c>
      <x:c r="J63" s="132" t="str">
        <x:f>IF(I63&gt;=4,"Высокий",IF(I63&gt;=2,"Средний","Низкий"))</x:f>
        <x:v>Низкий</x:v>
      </x:c>
      <x:c r="K63" s="134" t="str">
        <x:v>Новый</x:v>
      </x:c>
      <x:c r="L63" s="123"/>
      <x:c r="M63" s="136"/>
      <x:c r="N63" s="123"/>
    </x:row>
    <x:row r="64" ht="18" customHeight="1">
      <x:c r="A64" s="123"/>
      <x:c r="B64" s="123"/>
      <x:c r="C64" s="123"/>
      <x:c r="D64" s="123"/>
      <x:c r="E64" s="126"/>
      <x:c r="F64" s="126"/>
      <x:c r="G64" s="126"/>
      <x:c r="H64" s="126"/>
      <x:c r="I64" s="132" t="n">
        <x:f>IF(E64="Да",1,0)+IF(F64="Да",1,0)+IF(G64="Да",1,0)+IF(H64="Да",1,0)</x:f>
        <x:v>0</x:v>
      </x:c>
      <x:c r="J64" s="132" t="str">
        <x:f>IF(I64&gt;=4,"Высокий",IF(I64&gt;=2,"Средний","Низкий"))</x:f>
        <x:v>Низкий</x:v>
      </x:c>
      <x:c r="K64" s="134" t="str">
        <x:v>Новый</x:v>
      </x:c>
      <x:c r="L64" s="123"/>
      <x:c r="M64" s="136"/>
      <x:c r="N64" s="123"/>
    </x:row>
    <x:row r="65" ht="18" customHeight="1">
      <x:c r="A65" s="123"/>
      <x:c r="B65" s="123"/>
      <x:c r="C65" s="123"/>
      <x:c r="D65" s="123"/>
      <x:c r="E65" s="126"/>
      <x:c r="F65" s="126"/>
      <x:c r="G65" s="126"/>
      <x:c r="H65" s="126"/>
      <x:c r="I65" s="132" t="n">
        <x:f>IF(E65="Да",1,0)+IF(F65="Да",1,0)+IF(G65="Да",1,0)+IF(H65="Да",1,0)</x:f>
        <x:v>0</x:v>
      </x:c>
      <x:c r="J65" s="132" t="str">
        <x:f>IF(I65&gt;=4,"Высокий",IF(I65&gt;=2,"Средний","Низкий"))</x:f>
        <x:v>Низкий</x:v>
      </x:c>
      <x:c r="K65" s="134" t="str">
        <x:v>Новый</x:v>
      </x:c>
      <x:c r="L65" s="123"/>
      <x:c r="M65" s="136"/>
      <x:c r="N65" s="123"/>
    </x:row>
    <x:row r="66" ht="18" customHeight="1">
      <x:c r="A66" s="123"/>
      <x:c r="B66" s="123"/>
      <x:c r="C66" s="123"/>
      <x:c r="D66" s="123"/>
      <x:c r="E66" s="126"/>
      <x:c r="F66" s="126"/>
      <x:c r="G66" s="126"/>
      <x:c r="H66" s="126"/>
      <x:c r="I66" s="132" t="n">
        <x:f>IF(E66="Да",1,0)+IF(F66="Да",1,0)+IF(G66="Да",1,0)+IF(H66="Да",1,0)</x:f>
        <x:v>0</x:v>
      </x:c>
      <x:c r="J66" s="132" t="str">
        <x:f>IF(I66&gt;=4,"Высокий",IF(I66&gt;=2,"Средний","Низкий"))</x:f>
        <x:v>Низкий</x:v>
      </x:c>
      <x:c r="K66" s="134" t="str">
        <x:v>Новый</x:v>
      </x:c>
      <x:c r="L66" s="123"/>
      <x:c r="M66" s="136"/>
      <x:c r="N66" s="123"/>
    </x:row>
    <x:row r="67" ht="18" customHeight="1">
      <x:c r="A67" s="123"/>
      <x:c r="B67" s="123"/>
      <x:c r="C67" s="123"/>
      <x:c r="D67" s="123"/>
      <x:c r="E67" s="126"/>
      <x:c r="F67" s="126"/>
      <x:c r="G67" s="126"/>
      <x:c r="H67" s="126"/>
      <x:c r="I67" s="132" t="n">
        <x:f>IF(E67="Да",1,0)+IF(F67="Да",1,0)+IF(G67="Да",1,0)+IF(H67="Да",1,0)</x:f>
        <x:v>0</x:v>
      </x:c>
      <x:c r="J67" s="132" t="str">
        <x:f>IF(I67&gt;=4,"Высокий",IF(I67&gt;=2,"Средний","Низкий"))</x:f>
        <x:v>Низкий</x:v>
      </x:c>
      <x:c r="K67" s="134" t="str">
        <x:v>Новый</x:v>
      </x:c>
      <x:c r="L67" s="123"/>
      <x:c r="M67" s="136"/>
      <x:c r="N67" s="123"/>
    </x:row>
    <x:row r="68" ht="18" customHeight="1">
      <x:c r="A68" s="123"/>
      <x:c r="B68" s="123"/>
      <x:c r="C68" s="123"/>
      <x:c r="D68" s="123"/>
      <x:c r="E68" s="126"/>
      <x:c r="F68" s="126"/>
      <x:c r="G68" s="126"/>
      <x:c r="H68" s="126"/>
      <x:c r="I68" s="132" t="n">
        <x:f>IF(E68="Да",1,0)+IF(F68="Да",1,0)+IF(G68="Да",1,0)+IF(H68="Да",1,0)</x:f>
        <x:v>0</x:v>
      </x:c>
      <x:c r="J68" s="132" t="str">
        <x:f>IF(I68&gt;=4,"Высокий",IF(I68&gt;=2,"Средний","Низкий"))</x:f>
        <x:v>Низкий</x:v>
      </x:c>
      <x:c r="K68" s="134" t="str">
        <x:v>Новый</x:v>
      </x:c>
      <x:c r="L68" s="123"/>
      <x:c r="M68" s="136"/>
      <x:c r="N68" s="123"/>
    </x:row>
    <x:row r="69" ht="18" customHeight="1">
      <x:c r="A69" s="123"/>
      <x:c r="B69" s="123"/>
      <x:c r="C69" s="123"/>
      <x:c r="D69" s="123"/>
      <x:c r="E69" s="126"/>
      <x:c r="F69" s="126"/>
      <x:c r="G69" s="126"/>
      <x:c r="H69" s="126"/>
      <x:c r="I69" s="132" t="n">
        <x:f>IF(E69="Да",1,0)+IF(F69="Да",1,0)+IF(G69="Да",1,0)+IF(H69="Да",1,0)</x:f>
        <x:v>0</x:v>
      </x:c>
      <x:c r="J69" s="132" t="str">
        <x:f>IF(I69&gt;=4,"Высокий",IF(I69&gt;=2,"Средний","Низкий"))</x:f>
        <x:v>Низкий</x:v>
      </x:c>
      <x:c r="K69" s="134" t="str">
        <x:v>Новый</x:v>
      </x:c>
      <x:c r="L69" s="123"/>
      <x:c r="M69" s="136"/>
      <x:c r="N69" s="123"/>
    </x:row>
    <x:row r="70" ht="18" customHeight="1">
      <x:c r="A70" s="123"/>
      <x:c r="B70" s="123"/>
      <x:c r="C70" s="123"/>
      <x:c r="D70" s="123"/>
      <x:c r="E70" s="126"/>
      <x:c r="F70" s="126"/>
      <x:c r="G70" s="126"/>
      <x:c r="H70" s="126"/>
      <x:c r="I70" s="132" t="n">
        <x:f>IF(E70="Да",1,0)+IF(F70="Да",1,0)+IF(G70="Да",1,0)+IF(H70="Да",1,0)</x:f>
        <x:v>0</x:v>
      </x:c>
      <x:c r="J70" s="132" t="str">
        <x:f>IF(I70&gt;=4,"Высокий",IF(I70&gt;=2,"Средний","Низкий"))</x:f>
        <x:v>Низкий</x:v>
      </x:c>
      <x:c r="K70" s="134" t="str">
        <x:v>Новый</x:v>
      </x:c>
      <x:c r="L70" s="123"/>
      <x:c r="M70" s="136"/>
      <x:c r="N70" s="123"/>
    </x:row>
    <x:row r="71" ht="18" customHeight="1">
      <x:c r="A71" s="123"/>
      <x:c r="B71" s="123"/>
      <x:c r="C71" s="123"/>
      <x:c r="D71" s="123"/>
      <x:c r="E71" s="126"/>
      <x:c r="F71" s="126"/>
      <x:c r="G71" s="126"/>
      <x:c r="H71" s="126"/>
      <x:c r="I71" s="132" t="n">
        <x:f>IF(E71="Да",1,0)+IF(F71="Да",1,0)+IF(G71="Да",1,0)+IF(H71="Да",1,0)</x:f>
        <x:v>0</x:v>
      </x:c>
      <x:c r="J71" s="132" t="str">
        <x:f>IF(I71&gt;=4,"Высокий",IF(I71&gt;=2,"Средний","Низкий"))</x:f>
        <x:v>Низкий</x:v>
      </x:c>
      <x:c r="K71" s="134" t="str">
        <x:v>Новый</x:v>
      </x:c>
      <x:c r="L71" s="123"/>
      <x:c r="M71" s="136"/>
      <x:c r="N71" s="123"/>
    </x:row>
    <x:row r="72" ht="18" customHeight="1">
      <x:c r="A72" s="123"/>
      <x:c r="B72" s="123"/>
      <x:c r="C72" s="123"/>
      <x:c r="D72" s="123"/>
      <x:c r="E72" s="126"/>
      <x:c r="F72" s="126"/>
      <x:c r="G72" s="126"/>
      <x:c r="H72" s="126"/>
      <x:c r="I72" s="132" t="n">
        <x:f>IF(E72="Да",1,0)+IF(F72="Да",1,0)+IF(G72="Да",1,0)+IF(H72="Да",1,0)</x:f>
        <x:v>0</x:v>
      </x:c>
      <x:c r="J72" s="132" t="str">
        <x:f>IF(I72&gt;=4,"Высокий",IF(I72&gt;=2,"Средний","Низкий"))</x:f>
        <x:v>Низкий</x:v>
      </x:c>
      <x:c r="K72" s="134" t="str">
        <x:v>Новый</x:v>
      </x:c>
      <x:c r="L72" s="123"/>
      <x:c r="M72" s="136"/>
      <x:c r="N72" s="123"/>
    </x:row>
    <x:row r="73" ht="18" customHeight="1">
      <x:c r="A73" s="123"/>
      <x:c r="B73" s="123"/>
      <x:c r="C73" s="123"/>
      <x:c r="D73" s="123"/>
      <x:c r="E73" s="126"/>
      <x:c r="F73" s="126"/>
      <x:c r="G73" s="126"/>
      <x:c r="H73" s="126"/>
      <x:c r="I73" s="132" t="n">
        <x:f>IF(E73="Да",1,0)+IF(F73="Да",1,0)+IF(G73="Да",1,0)+IF(H73="Да",1,0)</x:f>
        <x:v>0</x:v>
      </x:c>
      <x:c r="J73" s="132" t="str">
        <x:f>IF(I73&gt;=4,"Высокий",IF(I73&gt;=2,"Средний","Низкий"))</x:f>
        <x:v>Низкий</x:v>
      </x:c>
      <x:c r="K73" s="134" t="str">
        <x:v>Новый</x:v>
      </x:c>
      <x:c r="L73" s="123"/>
      <x:c r="M73" s="136"/>
      <x:c r="N73" s="123"/>
    </x:row>
    <x:row r="74" ht="18" customHeight="1">
      <x:c r="A74" s="123"/>
      <x:c r="B74" s="123"/>
      <x:c r="C74" s="123"/>
      <x:c r="D74" s="123"/>
      <x:c r="E74" s="126"/>
      <x:c r="F74" s="126"/>
      <x:c r="G74" s="126"/>
      <x:c r="H74" s="126"/>
      <x:c r="I74" s="132" t="n">
        <x:f>IF(E74="Да",1,0)+IF(F74="Да",1,0)+IF(G74="Да",1,0)+IF(H74="Да",1,0)</x:f>
        <x:v>0</x:v>
      </x:c>
      <x:c r="J74" s="132" t="str">
        <x:f>IF(I74&gt;=4,"Высокий",IF(I74&gt;=2,"Средний","Низкий"))</x:f>
        <x:v>Низкий</x:v>
      </x:c>
      <x:c r="K74" s="134" t="str">
        <x:v>Новый</x:v>
      </x:c>
      <x:c r="L74" s="123"/>
      <x:c r="M74" s="136"/>
      <x:c r="N74" s="123"/>
    </x:row>
    <x:row r="75" ht="18" customHeight="1">
      <x:c r="A75" s="123"/>
      <x:c r="B75" s="123"/>
      <x:c r="C75" s="123"/>
      <x:c r="D75" s="123"/>
      <x:c r="E75" s="126"/>
      <x:c r="F75" s="126"/>
      <x:c r="G75" s="126"/>
      <x:c r="H75" s="126"/>
      <x:c r="I75" s="132" t="n">
        <x:f>IF(E75="Да",1,0)+IF(F75="Да",1,0)+IF(G75="Да",1,0)+IF(H75="Да",1,0)</x:f>
        <x:v>0</x:v>
      </x:c>
      <x:c r="J75" s="132" t="str">
        <x:f>IF(I75&gt;=4,"Высокий",IF(I75&gt;=2,"Средний","Низкий"))</x:f>
        <x:v>Низкий</x:v>
      </x:c>
      <x:c r="K75" s="134" t="str">
        <x:v>Новый</x:v>
      </x:c>
      <x:c r="L75" s="123"/>
      <x:c r="M75" s="136"/>
      <x:c r="N75" s="123"/>
    </x:row>
    <x:row r="76" ht="18" customHeight="1">
      <x:c r="A76" s="123"/>
      <x:c r="B76" s="123"/>
      <x:c r="C76" s="123"/>
      <x:c r="D76" s="123"/>
      <x:c r="E76" s="126"/>
      <x:c r="F76" s="126"/>
      <x:c r="G76" s="126"/>
      <x:c r="H76" s="126"/>
      <x:c r="I76" s="132" t="n">
        <x:f>IF(E76="Да",1,0)+IF(F76="Да",1,0)+IF(G76="Да",1,0)+IF(H76="Да",1,0)</x:f>
        <x:v>0</x:v>
      </x:c>
      <x:c r="J76" s="132" t="str">
        <x:f>IF(I76&gt;=4,"Высокий",IF(I76&gt;=2,"Средний","Низкий"))</x:f>
        <x:v>Низкий</x:v>
      </x:c>
      <x:c r="K76" s="134" t="str">
        <x:v>Новый</x:v>
      </x:c>
      <x:c r="L76" s="123"/>
      <x:c r="M76" s="136"/>
      <x:c r="N76" s="123"/>
    </x:row>
    <x:row r="77" ht="18" customHeight="1">
      <x:c r="A77" s="123"/>
      <x:c r="B77" s="123"/>
      <x:c r="C77" s="123"/>
      <x:c r="D77" s="123"/>
      <x:c r="E77" s="126"/>
      <x:c r="F77" s="126"/>
      <x:c r="G77" s="126"/>
      <x:c r="H77" s="126"/>
      <x:c r="I77" s="132" t="n">
        <x:f>IF(E77="Да",1,0)+IF(F77="Да",1,0)+IF(G77="Да",1,0)+IF(H77="Да",1,0)</x:f>
        <x:v>0</x:v>
      </x:c>
      <x:c r="J77" s="132" t="str">
        <x:f>IF(I77&gt;=4,"Высокий",IF(I77&gt;=2,"Средний","Низкий"))</x:f>
        <x:v>Низкий</x:v>
      </x:c>
      <x:c r="K77" s="134" t="str">
        <x:v>Новый</x:v>
      </x:c>
      <x:c r="L77" s="123"/>
      <x:c r="M77" s="136"/>
      <x:c r="N77" s="123"/>
    </x:row>
    <x:row r="78" ht="18" customHeight="1">
      <x:c r="A78" s="123"/>
      <x:c r="B78" s="123"/>
      <x:c r="C78" s="123"/>
      <x:c r="D78" s="123"/>
      <x:c r="E78" s="126"/>
      <x:c r="F78" s="126"/>
      <x:c r="G78" s="126"/>
      <x:c r="H78" s="126"/>
      <x:c r="I78" s="132" t="n">
        <x:f>IF(E78="Да",1,0)+IF(F78="Да",1,0)+IF(G78="Да",1,0)+IF(H78="Да",1,0)</x:f>
        <x:v>0</x:v>
      </x:c>
      <x:c r="J78" s="132" t="str">
        <x:f>IF(I78&gt;=4,"Высокий",IF(I78&gt;=2,"Средний","Низкий"))</x:f>
        <x:v>Низкий</x:v>
      </x:c>
      <x:c r="K78" s="134" t="str">
        <x:v>Новый</x:v>
      </x:c>
      <x:c r="L78" s="123"/>
      <x:c r="M78" s="136"/>
      <x:c r="N78" s="123"/>
    </x:row>
    <x:row r="79" ht="18" customHeight="1">
      <x:c r="A79" s="123"/>
      <x:c r="B79" s="123"/>
      <x:c r="C79" s="123"/>
      <x:c r="D79" s="123"/>
      <x:c r="E79" s="126"/>
      <x:c r="F79" s="126"/>
      <x:c r="G79" s="126"/>
      <x:c r="H79" s="126"/>
      <x:c r="I79" s="132" t="n">
        <x:f>IF(E79="Да",1,0)+IF(F79="Да",1,0)+IF(G79="Да",1,0)+IF(H79="Да",1,0)</x:f>
        <x:v>0</x:v>
      </x:c>
      <x:c r="J79" s="132" t="str">
        <x:f>IF(I79&gt;=4,"Высокий",IF(I79&gt;=2,"Средний","Низкий"))</x:f>
        <x:v>Низкий</x:v>
      </x:c>
      <x:c r="K79" s="134" t="str">
        <x:v>Новый</x:v>
      </x:c>
      <x:c r="L79" s="123"/>
      <x:c r="M79" s="136"/>
      <x:c r="N79" s="123"/>
    </x:row>
    <x:row r="80" ht="18" customHeight="1">
      <x:c r="A80" s="123"/>
      <x:c r="B80" s="123"/>
      <x:c r="C80" s="123"/>
      <x:c r="D80" s="123"/>
      <x:c r="E80" s="126"/>
      <x:c r="F80" s="126"/>
      <x:c r="G80" s="126"/>
      <x:c r="H80" s="126"/>
      <x:c r="I80" s="132" t="n">
        <x:f>IF(E80="Да",1,0)+IF(F80="Да",1,0)+IF(G80="Да",1,0)+IF(H80="Да",1,0)</x:f>
        <x:v>0</x:v>
      </x:c>
      <x:c r="J80" s="132" t="str">
        <x:f>IF(I80&gt;=4,"Высокий",IF(I80&gt;=2,"Средний","Низкий"))</x:f>
        <x:v>Низкий</x:v>
      </x:c>
      <x:c r="K80" s="134" t="str">
        <x:v>Новый</x:v>
      </x:c>
      <x:c r="L80" s="123"/>
      <x:c r="M80" s="136"/>
      <x:c r="N80" s="123"/>
    </x:row>
    <x:row r="81" ht="18" customHeight="1">
      <x:c r="A81" s="123"/>
      <x:c r="B81" s="123"/>
      <x:c r="C81" s="123"/>
      <x:c r="D81" s="123"/>
      <x:c r="E81" s="126"/>
      <x:c r="F81" s="126"/>
      <x:c r="G81" s="126"/>
      <x:c r="H81" s="126"/>
      <x:c r="I81" s="132" t="n">
        <x:f>IF(E81="Да",1,0)+IF(F81="Да",1,0)+IF(G81="Да",1,0)+IF(H81="Да",1,0)</x:f>
        <x:v>0</x:v>
      </x:c>
      <x:c r="J81" s="132" t="str">
        <x:f>IF(I81&gt;=4,"Высокий",IF(I81&gt;=2,"Средний","Низкий"))</x:f>
        <x:v>Низкий</x:v>
      </x:c>
      <x:c r="K81" s="134" t="str">
        <x:v>Новый</x:v>
      </x:c>
      <x:c r="L81" s="123"/>
      <x:c r="M81" s="136"/>
      <x:c r="N81" s="123"/>
    </x:row>
    <x:row r="82" ht="18" customHeight="1">
      <x:c r="A82" s="123"/>
      <x:c r="B82" s="123"/>
      <x:c r="C82" s="123"/>
      <x:c r="D82" s="123"/>
      <x:c r="E82" s="126"/>
      <x:c r="F82" s="126"/>
      <x:c r="G82" s="126"/>
      <x:c r="H82" s="126"/>
      <x:c r="I82" s="132" t="n">
        <x:f>IF(E82="Да",1,0)+IF(F82="Да",1,0)+IF(G82="Да",1,0)+IF(H82="Да",1,0)</x:f>
        <x:v>0</x:v>
      </x:c>
      <x:c r="J82" s="132" t="str">
        <x:f>IF(I82&gt;=4,"Высокий",IF(I82&gt;=2,"Средний","Низкий"))</x:f>
        <x:v>Низкий</x:v>
      </x:c>
      <x:c r="K82" s="134" t="str">
        <x:v>Новый</x:v>
      </x:c>
      <x:c r="L82" s="123"/>
      <x:c r="M82" s="136"/>
      <x:c r="N82" s="123"/>
    </x:row>
    <x:row r="83" ht="18" customHeight="1">
      <x:c r="A83" s="123"/>
      <x:c r="B83" s="123"/>
      <x:c r="C83" s="123"/>
      <x:c r="D83" s="123"/>
      <x:c r="E83" s="126"/>
      <x:c r="F83" s="126"/>
      <x:c r="G83" s="126"/>
      <x:c r="H83" s="126"/>
      <x:c r="I83" s="132" t="n">
        <x:f>IF(E83="Да",1,0)+IF(F83="Да",1,0)+IF(G83="Да",1,0)+IF(H83="Да",1,0)</x:f>
        <x:v>0</x:v>
      </x:c>
      <x:c r="J83" s="132" t="str">
        <x:f>IF(I83&gt;=4,"Высокий",IF(I83&gt;=2,"Средний","Низкий"))</x:f>
        <x:v>Низкий</x:v>
      </x:c>
      <x:c r="K83" s="134" t="str">
        <x:v>Новый</x:v>
      </x:c>
      <x:c r="L83" s="123"/>
      <x:c r="M83" s="136"/>
      <x:c r="N83" s="123"/>
    </x:row>
    <x:row r="84" ht="18" customHeight="1">
      <x:c r="A84" s="123"/>
      <x:c r="B84" s="123"/>
      <x:c r="C84" s="123"/>
      <x:c r="D84" s="123"/>
      <x:c r="E84" s="126"/>
      <x:c r="F84" s="126"/>
      <x:c r="G84" s="126"/>
      <x:c r="H84" s="126"/>
      <x:c r="I84" s="132" t="n">
        <x:f>IF(E84="Да",1,0)+IF(F84="Да",1,0)+IF(G84="Да",1,0)+IF(H84="Да",1,0)</x:f>
        <x:v>0</x:v>
      </x:c>
      <x:c r="J84" s="132" t="str">
        <x:f>IF(I84&gt;=4,"Высокий",IF(I84&gt;=2,"Средний","Низкий"))</x:f>
        <x:v>Низкий</x:v>
      </x:c>
      <x:c r="K84" s="134" t="str">
        <x:v>Новый</x:v>
      </x:c>
      <x:c r="L84" s="123"/>
      <x:c r="M84" s="136"/>
      <x:c r="N84" s="123"/>
    </x:row>
    <x:row r="85" ht="18" customHeight="1">
      <x:c r="A85" s="123"/>
      <x:c r="B85" s="123"/>
      <x:c r="C85" s="123"/>
      <x:c r="D85" s="123"/>
      <x:c r="E85" s="126"/>
      <x:c r="F85" s="126"/>
      <x:c r="G85" s="126"/>
      <x:c r="H85" s="126"/>
      <x:c r="I85" s="132" t="n">
        <x:f>IF(E85="Да",1,0)+IF(F85="Да",1,0)+IF(G85="Да",1,0)+IF(H85="Да",1,0)</x:f>
        <x:v>0</x:v>
      </x:c>
      <x:c r="J85" s="132" t="str">
        <x:f>IF(I85&gt;=4,"Высокий",IF(I85&gt;=2,"Средний","Низкий"))</x:f>
        <x:v>Низкий</x:v>
      </x:c>
      <x:c r="K85" s="134" t="str">
        <x:v>Новый</x:v>
      </x:c>
      <x:c r="L85" s="123"/>
      <x:c r="M85" s="136"/>
      <x:c r="N85" s="123"/>
    </x:row>
    <x:row r="86" ht="18" customHeight="1">
      <x:c r="A86" s="123"/>
      <x:c r="B86" s="123"/>
      <x:c r="C86" s="123"/>
      <x:c r="D86" s="123"/>
      <x:c r="E86" s="126"/>
      <x:c r="F86" s="126"/>
      <x:c r="G86" s="126"/>
      <x:c r="H86" s="126"/>
      <x:c r="I86" s="132" t="n">
        <x:f>IF(E86="Да",1,0)+IF(F86="Да",1,0)+IF(G86="Да",1,0)+IF(H86="Да",1,0)</x:f>
        <x:v>0</x:v>
      </x:c>
      <x:c r="J86" s="132" t="str">
        <x:f>IF(I86&gt;=4,"Высокий",IF(I86&gt;=2,"Средний","Низкий"))</x:f>
        <x:v>Низкий</x:v>
      </x:c>
      <x:c r="K86" s="134" t="str">
        <x:v>Новый</x:v>
      </x:c>
      <x:c r="L86" s="123"/>
      <x:c r="M86" s="136"/>
      <x:c r="N86" s="123"/>
    </x:row>
    <x:row r="87" ht="18" customHeight="1">
      <x:c r="A87" s="123"/>
      <x:c r="B87" s="123"/>
      <x:c r="C87" s="123"/>
      <x:c r="D87" s="123"/>
      <x:c r="E87" s="126"/>
      <x:c r="F87" s="126"/>
      <x:c r="G87" s="126"/>
      <x:c r="H87" s="126"/>
      <x:c r="I87" s="132" t="n">
        <x:f>IF(E87="Да",1,0)+IF(F87="Да",1,0)+IF(G87="Да",1,0)+IF(H87="Да",1,0)</x:f>
        <x:v>0</x:v>
      </x:c>
      <x:c r="J87" s="132" t="str">
        <x:f>IF(I87&gt;=4,"Высокий",IF(I87&gt;=2,"Средний","Низкий"))</x:f>
        <x:v>Низкий</x:v>
      </x:c>
      <x:c r="K87" s="134" t="str">
        <x:v>Новый</x:v>
      </x:c>
      <x:c r="L87" s="123"/>
      <x:c r="M87" s="136"/>
      <x:c r="N87" s="123"/>
    </x:row>
    <x:row r="88" ht="18" customHeight="1">
      <x:c r="A88" s="123"/>
      <x:c r="B88" s="123"/>
      <x:c r="C88" s="123"/>
      <x:c r="D88" s="123"/>
      <x:c r="E88" s="126"/>
      <x:c r="F88" s="126"/>
      <x:c r="G88" s="126"/>
      <x:c r="H88" s="126"/>
      <x:c r="I88" s="132" t="n">
        <x:f>IF(E88="Да",1,0)+IF(F88="Да",1,0)+IF(G88="Да",1,0)+IF(H88="Да",1,0)</x:f>
        <x:v>0</x:v>
      </x:c>
      <x:c r="J88" s="132" t="str">
        <x:f>IF(I88&gt;=4,"Высокий",IF(I88&gt;=2,"Средний","Низкий"))</x:f>
        <x:v>Низкий</x:v>
      </x:c>
      <x:c r="K88" s="134" t="str">
        <x:v>Новый</x:v>
      </x:c>
      <x:c r="L88" s="123"/>
      <x:c r="M88" s="136"/>
      <x:c r="N88" s="123"/>
    </x:row>
    <x:row r="89" ht="18" customHeight="1">
      <x:c r="A89" s="123"/>
      <x:c r="B89" s="123"/>
      <x:c r="C89" s="123"/>
      <x:c r="D89" s="123"/>
      <x:c r="E89" s="126"/>
      <x:c r="F89" s="126"/>
      <x:c r="G89" s="126"/>
      <x:c r="H89" s="126"/>
      <x:c r="I89" s="132" t="n">
        <x:f>IF(E89="Да",1,0)+IF(F89="Да",1,0)+IF(G89="Да",1,0)+IF(H89="Да",1,0)</x:f>
        <x:v>0</x:v>
      </x:c>
      <x:c r="J89" s="132" t="str">
        <x:f>IF(I89&gt;=4,"Высокий",IF(I89&gt;=2,"Средний","Низкий"))</x:f>
        <x:v>Низкий</x:v>
      </x:c>
      <x:c r="K89" s="134" t="str">
        <x:v>Новый</x:v>
      </x:c>
      <x:c r="L89" s="123"/>
      <x:c r="M89" s="136"/>
      <x:c r="N89" s="123"/>
    </x:row>
    <x:row r="90" ht="18" customHeight="1">
      <x:c r="A90" s="123"/>
      <x:c r="B90" s="123"/>
      <x:c r="C90" s="123"/>
      <x:c r="D90" s="123"/>
      <x:c r="E90" s="126"/>
      <x:c r="F90" s="126"/>
      <x:c r="G90" s="126"/>
      <x:c r="H90" s="126"/>
      <x:c r="I90" s="132" t="n">
        <x:f>IF(E90="Да",1,0)+IF(F90="Да",1,0)+IF(G90="Да",1,0)+IF(H90="Да",1,0)</x:f>
        <x:v>0</x:v>
      </x:c>
      <x:c r="J90" s="132" t="str">
        <x:f>IF(I90&gt;=4,"Высокий",IF(I90&gt;=2,"Средний","Низкий"))</x:f>
        <x:v>Низкий</x:v>
      </x:c>
      <x:c r="K90" s="134" t="str">
        <x:v>Новый</x:v>
      </x:c>
      <x:c r="L90" s="123"/>
      <x:c r="M90" s="136"/>
      <x:c r="N90" s="123"/>
    </x:row>
    <x:row r="91" ht="18" customHeight="1">
      <x:c r="A91" s="123"/>
      <x:c r="B91" s="123"/>
      <x:c r="C91" s="123"/>
      <x:c r="D91" s="123"/>
      <x:c r="E91" s="126"/>
      <x:c r="F91" s="126"/>
      <x:c r="G91" s="126"/>
      <x:c r="H91" s="126"/>
      <x:c r="I91" s="132" t="n">
        <x:f>IF(E91="Да",1,0)+IF(F91="Да",1,0)+IF(G91="Да",1,0)+IF(H91="Да",1,0)</x:f>
        <x:v>0</x:v>
      </x:c>
      <x:c r="J91" s="132" t="str">
        <x:f>IF(I91&gt;=4,"Высокий",IF(I91&gt;=2,"Средний","Низкий"))</x:f>
        <x:v>Низкий</x:v>
      </x:c>
      <x:c r="K91" s="134" t="str">
        <x:v>Новый</x:v>
      </x:c>
      <x:c r="L91" s="123"/>
      <x:c r="M91" s="136"/>
      <x:c r="N91" s="123"/>
    </x:row>
    <x:row r="92" ht="18" customHeight="1">
      <x:c r="A92" s="123"/>
      <x:c r="B92" s="123"/>
      <x:c r="C92" s="123"/>
      <x:c r="D92" s="123"/>
      <x:c r="E92" s="126"/>
      <x:c r="F92" s="126"/>
      <x:c r="G92" s="126"/>
      <x:c r="H92" s="126"/>
      <x:c r="I92" s="132" t="n">
        <x:f>IF(E92="Да",1,0)+IF(F92="Да",1,0)+IF(G92="Да",1,0)+IF(H92="Да",1,0)</x:f>
        <x:v>0</x:v>
      </x:c>
      <x:c r="J92" s="132" t="str">
        <x:f>IF(I92&gt;=4,"Высокий",IF(I92&gt;=2,"Средний","Низкий"))</x:f>
        <x:v>Низкий</x:v>
      </x:c>
      <x:c r="K92" s="134" t="str">
        <x:v>Новый</x:v>
      </x:c>
      <x:c r="L92" s="123"/>
      <x:c r="M92" s="136"/>
      <x:c r="N92" s="123"/>
    </x:row>
    <x:row r="93" ht="18" customHeight="1">
      <x:c r="A93" s="123"/>
      <x:c r="B93" s="123"/>
      <x:c r="C93" s="123"/>
      <x:c r="D93" s="123"/>
      <x:c r="E93" s="126"/>
      <x:c r="F93" s="126"/>
      <x:c r="G93" s="126"/>
      <x:c r="H93" s="126"/>
      <x:c r="I93" s="132" t="n">
        <x:f>IF(E93="Да",1,0)+IF(F93="Да",1,0)+IF(G93="Да",1,0)+IF(H93="Да",1,0)</x:f>
        <x:v>0</x:v>
      </x:c>
      <x:c r="J93" s="132" t="str">
        <x:f>IF(I93&gt;=4,"Высокий",IF(I93&gt;=2,"Средний","Низкий"))</x:f>
        <x:v>Низкий</x:v>
      </x:c>
      <x:c r="K93" s="134" t="str">
        <x:v>Новый</x:v>
      </x:c>
      <x:c r="L93" s="123"/>
      <x:c r="M93" s="136"/>
      <x:c r="N93" s="123"/>
    </x:row>
    <x:row r="94" ht="18" customHeight="1">
      <x:c r="A94" s="123"/>
      <x:c r="B94" s="123"/>
      <x:c r="C94" s="123"/>
      <x:c r="D94" s="123"/>
      <x:c r="E94" s="126"/>
      <x:c r="F94" s="126"/>
      <x:c r="G94" s="126"/>
      <x:c r="H94" s="126"/>
      <x:c r="I94" s="132" t="n">
        <x:f>IF(E94="Да",1,0)+IF(F94="Да",1,0)+IF(G94="Да",1,0)+IF(H94="Да",1,0)</x:f>
        <x:v>0</x:v>
      </x:c>
      <x:c r="J94" s="132" t="str">
        <x:f>IF(I94&gt;=4,"Высокий",IF(I94&gt;=2,"Средний","Низкий"))</x:f>
        <x:v>Низкий</x:v>
      </x:c>
      <x:c r="K94" s="134" t="str">
        <x:v>Новый</x:v>
      </x:c>
      <x:c r="L94" s="123"/>
      <x:c r="M94" s="136"/>
      <x:c r="N94" s="123"/>
    </x:row>
    <x:row r="95" ht="18" customHeight="1">
      <x:c r="A95" s="123"/>
      <x:c r="B95" s="123"/>
      <x:c r="C95" s="123"/>
      <x:c r="D95" s="123"/>
      <x:c r="E95" s="126"/>
      <x:c r="F95" s="126"/>
      <x:c r="G95" s="126"/>
      <x:c r="H95" s="126"/>
      <x:c r="I95" s="132" t="n">
        <x:f>IF(E95="Да",1,0)+IF(F95="Да",1,0)+IF(G95="Да",1,0)+IF(H95="Да",1,0)</x:f>
        <x:v>0</x:v>
      </x:c>
      <x:c r="J95" s="132" t="str">
        <x:f>IF(I95&gt;=4,"Высокий",IF(I95&gt;=2,"Средний","Низкий"))</x:f>
        <x:v>Низкий</x:v>
      </x:c>
      <x:c r="K95" s="134" t="str">
        <x:v>Новый</x:v>
      </x:c>
      <x:c r="L95" s="123"/>
      <x:c r="M95" s="136"/>
      <x:c r="N95" s="123"/>
    </x:row>
    <x:row r="96" ht="18" customHeight="1">
      <x:c r="A96" s="123"/>
      <x:c r="B96" s="123"/>
      <x:c r="C96" s="123"/>
      <x:c r="D96" s="123"/>
      <x:c r="E96" s="126"/>
      <x:c r="F96" s="126"/>
      <x:c r="G96" s="126"/>
      <x:c r="H96" s="126"/>
      <x:c r="I96" s="132" t="n">
        <x:f>IF(E96="Да",1,0)+IF(F96="Да",1,0)+IF(G96="Да",1,0)+IF(H96="Да",1,0)</x:f>
        <x:v>0</x:v>
      </x:c>
      <x:c r="J96" s="132" t="str">
        <x:f>IF(I96&gt;=4,"Высокий",IF(I96&gt;=2,"Средний","Низкий"))</x:f>
        <x:v>Низкий</x:v>
      </x:c>
      <x:c r="K96" s="134" t="str">
        <x:v>Новый</x:v>
      </x:c>
      <x:c r="L96" s="123"/>
      <x:c r="M96" s="136"/>
      <x:c r="N96" s="123"/>
    </x:row>
    <x:row r="97" ht="18" customHeight="1">
      <x:c r="A97" s="123"/>
      <x:c r="B97" s="123"/>
      <x:c r="C97" s="123"/>
      <x:c r="D97" s="123"/>
      <x:c r="E97" s="126"/>
      <x:c r="F97" s="126"/>
      <x:c r="G97" s="126"/>
      <x:c r="H97" s="126"/>
      <x:c r="I97" s="132" t="n">
        <x:f>IF(E97="Да",1,0)+IF(F97="Да",1,0)+IF(G97="Да",1,0)+IF(H97="Да",1,0)</x:f>
        <x:v>0</x:v>
      </x:c>
      <x:c r="J97" s="132" t="str">
        <x:f>IF(I97&gt;=4,"Высокий",IF(I97&gt;=2,"Средний","Низкий"))</x:f>
        <x:v>Низкий</x:v>
      </x:c>
      <x:c r="K97" s="134" t="str">
        <x:v>Новый</x:v>
      </x:c>
      <x:c r="L97" s="123"/>
      <x:c r="M97" s="136"/>
      <x:c r="N97" s="123"/>
    </x:row>
    <x:row r="98" ht="18" customHeight="1">
      <x:c r="A98" s="123"/>
      <x:c r="B98" s="123"/>
      <x:c r="C98" s="123"/>
      <x:c r="D98" s="123"/>
      <x:c r="E98" s="126"/>
      <x:c r="F98" s="126"/>
      <x:c r="G98" s="126"/>
      <x:c r="H98" s="126"/>
      <x:c r="I98" s="132" t="n">
        <x:f>IF(E98="Да",1,0)+IF(F98="Да",1,0)+IF(G98="Да",1,0)+IF(H98="Да",1,0)</x:f>
        <x:v>0</x:v>
      </x:c>
      <x:c r="J98" s="132" t="str">
        <x:f>IF(I98&gt;=4,"Высокий",IF(I98&gt;=2,"Средний","Низкий"))</x:f>
        <x:v>Низкий</x:v>
      </x:c>
      <x:c r="K98" s="134" t="str">
        <x:v>Новый</x:v>
      </x:c>
      <x:c r="L98" s="123"/>
      <x:c r="M98" s="136"/>
      <x:c r="N98" s="123"/>
    </x:row>
    <x:row r="99" ht="18" customHeight="1">
      <x:c r="A99" s="123"/>
      <x:c r="B99" s="123"/>
      <x:c r="C99" s="123"/>
      <x:c r="D99" s="123"/>
      <x:c r="E99" s="126"/>
      <x:c r="F99" s="126"/>
      <x:c r="G99" s="126"/>
      <x:c r="H99" s="126"/>
      <x:c r="I99" s="132" t="n">
        <x:f>IF(E99="Да",1,0)+IF(F99="Да",1,0)+IF(G99="Да",1,0)+IF(H99="Да",1,0)</x:f>
        <x:v>0</x:v>
      </x:c>
      <x:c r="J99" s="132" t="str">
        <x:f>IF(I99&gt;=4,"Высокий",IF(I99&gt;=2,"Средний","Низкий"))</x:f>
        <x:v>Низкий</x:v>
      </x:c>
      <x:c r="K99" s="134" t="str">
        <x:v>Новый</x:v>
      </x:c>
      <x:c r="L99" s="123"/>
      <x:c r="M99" s="136"/>
      <x:c r="N99" s="123"/>
    </x:row>
    <x:row r="100" ht="18" customHeight="1">
      <x:c r="A100" s="123"/>
      <x:c r="B100" s="123"/>
      <x:c r="C100" s="123"/>
      <x:c r="D100" s="123"/>
      <x:c r="E100" s="126"/>
      <x:c r="F100" s="126"/>
      <x:c r="G100" s="126"/>
      <x:c r="H100" s="126"/>
      <x:c r="I100" s="132" t="n">
        <x:f>IF(E100="Да",1,0)+IF(F100="Да",1,0)+IF(G100="Да",1,0)+IF(H100="Да",1,0)</x:f>
        <x:v>0</x:v>
      </x:c>
      <x:c r="J100" s="132" t="str">
        <x:f>IF(I100&gt;=4,"Высокий",IF(I100&gt;=2,"Средний","Низкий"))</x:f>
        <x:v>Низкий</x:v>
      </x:c>
      <x:c r="K100" s="134" t="str">
        <x:v>Новый</x:v>
      </x:c>
      <x:c r="L100" s="123"/>
      <x:c r="M100" s="136"/>
      <x:c r="N100" s="123"/>
    </x:row>
    <x:row r="101" ht="18" customHeight="1">
      <x:c r="A101" s="123"/>
      <x:c r="B101" s="123"/>
      <x:c r="C101" s="123"/>
      <x:c r="D101" s="123"/>
      <x:c r="E101" s="126"/>
      <x:c r="F101" s="126"/>
      <x:c r="G101" s="126"/>
      <x:c r="H101" s="126"/>
      <x:c r="I101" s="132" t="n">
        <x:f>IF(E101="Да",1,0)+IF(F101="Да",1,0)+IF(G101="Да",1,0)+IF(H101="Да",1,0)</x:f>
        <x:v>0</x:v>
      </x:c>
      <x:c r="J101" s="132" t="str">
        <x:f>IF(I101&gt;=4,"Высокий",IF(I101&gt;=2,"Средний","Низкий"))</x:f>
        <x:v>Низкий</x:v>
      </x:c>
      <x:c r="K101" s="134" t="str">
        <x:v>Новый</x:v>
      </x:c>
      <x:c r="L101" s="123"/>
      <x:c r="M101" s="136"/>
      <x:c r="N101" s="123"/>
    </x:row>
    <x:row r="102" ht="18" customHeight="1">
      <x:c r="A102" s="123"/>
      <x:c r="B102" s="123"/>
      <x:c r="C102" s="123"/>
      <x:c r="D102" s="123"/>
      <x:c r="E102" s="126"/>
      <x:c r="F102" s="126"/>
      <x:c r="G102" s="126"/>
      <x:c r="H102" s="126"/>
      <x:c r="I102" s="132" t="n">
        <x:f>IF(E102="Да",1,0)+IF(F102="Да",1,0)+IF(G102="Да",1,0)+IF(H102="Да",1,0)</x:f>
        <x:v>0</x:v>
      </x:c>
      <x:c r="J102" s="132" t="str">
        <x:f>IF(I102&gt;=4,"Высокий",IF(I102&gt;=2,"Средний","Низкий"))</x:f>
        <x:v>Низкий</x:v>
      </x:c>
      <x:c r="K102" s="134" t="str">
        <x:v>Новый</x:v>
      </x:c>
      <x:c r="L102" s="123"/>
      <x:c r="M102" s="136"/>
      <x:c r="N102" s="123"/>
    </x:row>
    <x:row r="103" ht="18" customHeight="1">
      <x:c r="A103" s="123"/>
      <x:c r="B103" s="123"/>
      <x:c r="C103" s="123"/>
      <x:c r="D103" s="123"/>
      <x:c r="E103" s="126"/>
      <x:c r="F103" s="126"/>
      <x:c r="G103" s="126"/>
      <x:c r="H103" s="126"/>
      <x:c r="I103" s="132" t="n">
        <x:f>IF(E103="Да",1,0)+IF(F103="Да",1,0)+IF(G103="Да",1,0)+IF(H103="Да",1,0)</x:f>
        <x:v>0</x:v>
      </x:c>
      <x:c r="J103" s="132" t="str">
        <x:f>IF(I103&gt;=4,"Высокий",IF(I103&gt;=2,"Средний","Низкий"))</x:f>
        <x:v>Низкий</x:v>
      </x:c>
      <x:c r="K103" s="134" t="str">
        <x:v>Новый</x:v>
      </x:c>
      <x:c r="L103" s="123"/>
      <x:c r="M103" s="136"/>
      <x:c r="N103" s="123"/>
    </x:row>
  </x:sheetData>
  <x:mergeCells>
    <x:mergeCell ref="A1:N1"/>
    <x:mergeCell ref="A2:N2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1E8"/>
        <x:color rgb="FFE9F8F1"/>
      </x:colorScale>
    </x:cfRule>
  </x:conditionalFormatting>
  <x:conditionalFormatting sqref="J4:J103">
    <x:cfRule type="expression" dxfId="0" priority="2">
      <x:formula>J4="Высокий"</x:formula>
    </x:cfRule>
    <x:cfRule type="expression" dxfId="1" priority="3">
      <x:formula>J4="Средний"</x:formula>
    </x:cfRule>
    <x:cfRule type="expression" dxfId="2" priority="4">
      <x:formula>J4="Низкий"</x:formula>
    </x:cfRule>
  </x:conditionalFormatting>
  <x:dataValidations count="2">
    <x:dataValidation type="list" sqref="E4:H103">
      <x:formula1>"Да,Нет,Не знаю"</x:formula1>
    </x:dataValidation>
    <x:dataValidation type="list" sqref="K4:K103">
      <x:formula1>"Новый,Изучен,Написал,Ответил,Аудит согласован,Аудит проведён,Предложение,Сделка,Нет ответа,Не подходит"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0bdc5ffa30435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0.4399995803833" hidden="0" customWidth="1"/>
    <x:col min="2" max="2" width="12.4399995803833" hidden="0" customWidth="1"/>
    <x:col min="3" max="3" width="16.670000076293945" hidden="0" customWidth="1"/>
    <x:col min="4" max="4" width="16.670000076293945" hidden="0" customWidth="1"/>
    <x:col min="5" max="5" width="9.5600004196167" hidden="0" customWidth="1"/>
    <x:col min="6" max="6" width="23.329999923706055" hidden="0" customWidth="1"/>
    <x:col min="7" max="7" width="13.109999656677246" hidden="0" customWidth="1"/>
    <x:col min="8" max="8" width="13.890000343322754" hidden="0" customWidth="1"/>
    <x:col min="9" max="9" width="11.670000076293945" hidden="0" customWidth="1"/>
    <x:col min="10" max="10" width="24.440000534057617" hidden="0" customWidth="1"/>
    <x:col min="11" max="11" width="18.329999923706055" hidden="0" customWidth="1"/>
    <x:col min="12" max="12" width="20.559999465942383" hidden="0" customWidth="1"/>
    <x:col min="13" max="13" width="24.440000534057617" hidden="0" customWidth="1"/>
    <x:col min="14" max="14" width="13.329999923706055" hidden="0" customWidth="1"/>
  </x:cols>
  <x:sheetData>
    <x:row r="1" ht="31.5" customHeight="1">
      <x:c r="A1" s="105" t="str">
        <x:v>Рабочая таблица аудита переписок</x:v>
      </x:c>
      <x:c r="B1" s="105"/>
      <x:c r="C1" s="105"/>
      <x:c r="D1" s="105"/>
      <x:c r="E1" s="105"/>
      <x:c r="F1" s="105"/>
      <x:c r="G1" s="105"/>
      <x:c r="H1" s="105"/>
      <x:c r="I1" s="105"/>
      <x:c r="J1" s="105"/>
      <x:c r="K1" s="105"/>
      <x:c r="L1" s="105"/>
      <x:c r="M1" s="105"/>
      <x:c r="N1" s="105"/>
    </x:row>
    <x:row r="2" ht="28.5" customHeight="1">
      <x:c r="A2" s="140" t="str">
        <x:v>Используйте только обезличенные диалоги. Не вставляйте паспортные данные, карты, SMS-коды, банковские реквизиты, пароли и другие чувствительные сведения.</x:v>
      </x:c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  <x:c r="M2" s="140"/>
      <x:c r="N2" s="140"/>
    </x:row>
    <x:row r="3" ht="40.5" customHeight="1">
      <x:c r="A3" s="112" t="str">
        <x:v>ID диалога</x:v>
      </x:c>
      <x:c r="B3" s="112" t="str">
        <x:v>Менеджер</x:v>
      </x:c>
      <x:c r="C3" s="112" t="str">
        <x:v>Дата/время сообщения клиента</x:v>
      </x:c>
      <x:c r="D3" s="112" t="str">
        <x:v>Дата/время первого ответа</x:v>
      </x:c>
      <x:c r="E3" s="112" t="str">
        <x:v>Ответ, мин.</x:v>
      </x:c>
      <x:c r="F3" s="112" t="str">
        <x:v>Запрос клиента</x:v>
      </x:c>
      <x:c r="G3" s="112" t="str">
        <x:v>На запрос ответили?</x:v>
      </x:c>
      <x:c r="H3" s="112" t="str">
        <x:v>Следующий шаг назначен?</x:v>
      </x:c>
      <x:c r="I3" s="112" t="str">
        <x:v>Уровень риска</x:v>
      </x:c>
      <x:c r="J3" s="112" t="str">
        <x:v>Доказательство / цитата</x:v>
      </x:c>
      <x:c r="K3" s="112" t="str">
        <x:v>Что потеряно</x:v>
      </x:c>
      <x:c r="L3" s="112" t="str">
        <x:v>Действие сейчас</x:v>
      </x:c>
      <x:c r="M3" s="112" t="str">
        <x:v>Вариант ответа</x:v>
      </x:c>
      <x:c r="N3" s="112" t="str">
        <x:v>Проверено человеком?</x:v>
      </x:c>
    </x:row>
    <x:row r="4" ht="18" customHeight="1">
      <x:c r="A4" s="121"/>
      <x:c r="B4" s="121"/>
      <x:c r="C4" s="147"/>
      <x:c r="D4" s="147"/>
      <x:c r="E4" s="131" t="str">
        <x:f>IF(OR(C4="",D4=""),"",ROUND((D4-C4)*1440,0))</x:f>
      </x:c>
      <x:c r="F4" s="121"/>
      <x:c r="G4" s="125"/>
      <x:c r="H4" s="125"/>
      <x:c r="I4" s="125"/>
      <x:c r="J4" s="121"/>
      <x:c r="K4" s="121"/>
      <x:c r="L4" s="121"/>
      <x:c r="M4" s="121"/>
      <x:c r="N4" s="133" t="str">
        <x:v>Нет</x:v>
      </x:c>
    </x:row>
    <x:row r="5" ht="18" customHeight="1">
      <x:c r="A5" s="123"/>
      <x:c r="B5" s="123"/>
      <x:c r="C5" s="148"/>
      <x:c r="D5" s="148"/>
      <x:c r="E5" s="132" t="str">
        <x:f>IF(OR(C5="",D5=""),"",ROUND((D5-C5)*1440,0))</x:f>
      </x:c>
      <x:c r="F5" s="123"/>
      <x:c r="G5" s="126"/>
      <x:c r="H5" s="126"/>
      <x:c r="I5" s="126"/>
      <x:c r="J5" s="123"/>
      <x:c r="K5" s="123"/>
      <x:c r="L5" s="123"/>
      <x:c r="M5" s="123"/>
      <x:c r="N5" s="134" t="str">
        <x:v>Нет</x:v>
      </x:c>
    </x:row>
    <x:row r="6" ht="18" customHeight="1">
      <x:c r="A6" s="123"/>
      <x:c r="B6" s="123"/>
      <x:c r="C6" s="148"/>
      <x:c r="D6" s="148"/>
      <x:c r="E6" s="132" t="str">
        <x:f>IF(OR(C6="",D6=""),"",ROUND((D6-C6)*1440,0))</x:f>
      </x:c>
      <x:c r="F6" s="123"/>
      <x:c r="G6" s="126"/>
      <x:c r="H6" s="126"/>
      <x:c r="I6" s="126"/>
      <x:c r="J6" s="123"/>
      <x:c r="K6" s="123"/>
      <x:c r="L6" s="123"/>
      <x:c r="M6" s="123"/>
      <x:c r="N6" s="134" t="str">
        <x:v>Нет</x:v>
      </x:c>
    </x:row>
    <x:row r="7" ht="18" customHeight="1">
      <x:c r="A7" s="123"/>
      <x:c r="B7" s="123"/>
      <x:c r="C7" s="148"/>
      <x:c r="D7" s="148"/>
      <x:c r="E7" s="132" t="str">
        <x:f>IF(OR(C7="",D7=""),"",ROUND((D7-C7)*1440,0))</x:f>
      </x:c>
      <x:c r="F7" s="123"/>
      <x:c r="G7" s="126"/>
      <x:c r="H7" s="126"/>
      <x:c r="I7" s="126"/>
      <x:c r="J7" s="123"/>
      <x:c r="K7" s="123"/>
      <x:c r="L7" s="123"/>
      <x:c r="M7" s="123"/>
      <x:c r="N7" s="134" t="str">
        <x:v>Нет</x:v>
      </x:c>
    </x:row>
    <x:row r="8" ht="18" customHeight="1">
      <x:c r="A8" s="123"/>
      <x:c r="B8" s="123"/>
      <x:c r="C8" s="148"/>
      <x:c r="D8" s="148"/>
      <x:c r="E8" s="132" t="str">
        <x:f>IF(OR(C8="",D8=""),"",ROUND((D8-C8)*1440,0))</x:f>
      </x:c>
      <x:c r="F8" s="123"/>
      <x:c r="G8" s="126"/>
      <x:c r="H8" s="126"/>
      <x:c r="I8" s="126"/>
      <x:c r="J8" s="123"/>
      <x:c r="K8" s="123"/>
      <x:c r="L8" s="123"/>
      <x:c r="M8" s="123"/>
      <x:c r="N8" s="134" t="str">
        <x:v>Нет</x:v>
      </x:c>
    </x:row>
    <x:row r="9" ht="18" customHeight="1">
      <x:c r="A9" s="123"/>
      <x:c r="B9" s="123"/>
      <x:c r="C9" s="148"/>
      <x:c r="D9" s="148"/>
      <x:c r="E9" s="132" t="str">
        <x:f>IF(OR(C9="",D9=""),"",ROUND((D9-C9)*1440,0))</x:f>
      </x:c>
      <x:c r="F9" s="123"/>
      <x:c r="G9" s="126"/>
      <x:c r="H9" s="126"/>
      <x:c r="I9" s="126"/>
      <x:c r="J9" s="123"/>
      <x:c r="K9" s="123"/>
      <x:c r="L9" s="123"/>
      <x:c r="M9" s="123"/>
      <x:c r="N9" s="134" t="str">
        <x:v>Нет</x:v>
      </x:c>
    </x:row>
    <x:row r="10" ht="18" customHeight="1">
      <x:c r="A10" s="123"/>
      <x:c r="B10" s="123"/>
      <x:c r="C10" s="148"/>
      <x:c r="D10" s="148"/>
      <x:c r="E10" s="132" t="str">
        <x:f>IF(OR(C10="",D10=""),"",ROUND((D10-C10)*1440,0))</x:f>
      </x:c>
      <x:c r="F10" s="123"/>
      <x:c r="G10" s="126"/>
      <x:c r="H10" s="126"/>
      <x:c r="I10" s="126"/>
      <x:c r="J10" s="123"/>
      <x:c r="K10" s="123"/>
      <x:c r="L10" s="123"/>
      <x:c r="M10" s="123"/>
      <x:c r="N10" s="134" t="str">
        <x:v>Нет</x:v>
      </x:c>
    </x:row>
    <x:row r="11" ht="18" customHeight="1">
      <x:c r="A11" s="123"/>
      <x:c r="B11" s="123"/>
      <x:c r="C11" s="148"/>
      <x:c r="D11" s="148"/>
      <x:c r="E11" s="132" t="str">
        <x:f>IF(OR(C11="",D11=""),"",ROUND((D11-C11)*1440,0))</x:f>
      </x:c>
      <x:c r="F11" s="123"/>
      <x:c r="G11" s="126"/>
      <x:c r="H11" s="126"/>
      <x:c r="I11" s="126"/>
      <x:c r="J11" s="123"/>
      <x:c r="K11" s="123"/>
      <x:c r="L11" s="123"/>
      <x:c r="M11" s="123"/>
      <x:c r="N11" s="134" t="str">
        <x:v>Нет</x:v>
      </x:c>
    </x:row>
    <x:row r="12" ht="18" customHeight="1">
      <x:c r="A12" s="123"/>
      <x:c r="B12" s="123"/>
      <x:c r="C12" s="148"/>
      <x:c r="D12" s="148"/>
      <x:c r="E12" s="132" t="str">
        <x:f>IF(OR(C12="",D12=""),"",ROUND((D12-C12)*1440,0))</x:f>
      </x:c>
      <x:c r="F12" s="123"/>
      <x:c r="G12" s="126"/>
      <x:c r="H12" s="126"/>
      <x:c r="I12" s="126"/>
      <x:c r="J12" s="123"/>
      <x:c r="K12" s="123"/>
      <x:c r="L12" s="123"/>
      <x:c r="M12" s="123"/>
      <x:c r="N12" s="134" t="str">
        <x:v>Нет</x:v>
      </x:c>
    </x:row>
    <x:row r="13" ht="18" customHeight="1">
      <x:c r="A13" s="123"/>
      <x:c r="B13" s="123"/>
      <x:c r="C13" s="148"/>
      <x:c r="D13" s="148"/>
      <x:c r="E13" s="132" t="str">
        <x:f>IF(OR(C13="",D13=""),"",ROUND((D13-C13)*1440,0))</x:f>
      </x:c>
      <x:c r="F13" s="123"/>
      <x:c r="G13" s="126"/>
      <x:c r="H13" s="126"/>
      <x:c r="I13" s="126"/>
      <x:c r="J13" s="123"/>
      <x:c r="K13" s="123"/>
      <x:c r="L13" s="123"/>
      <x:c r="M13" s="123"/>
      <x:c r="N13" s="134" t="str">
        <x:v>Нет</x:v>
      </x:c>
    </x:row>
    <x:row r="14" ht="18" customHeight="1">
      <x:c r="A14" s="123"/>
      <x:c r="B14" s="123"/>
      <x:c r="C14" s="148"/>
      <x:c r="D14" s="148"/>
      <x:c r="E14" s="132" t="str">
        <x:f>IF(OR(C14="",D14=""),"",ROUND((D14-C14)*1440,0))</x:f>
      </x:c>
      <x:c r="F14" s="123"/>
      <x:c r="G14" s="126"/>
      <x:c r="H14" s="126"/>
      <x:c r="I14" s="126"/>
      <x:c r="J14" s="123"/>
      <x:c r="K14" s="123"/>
      <x:c r="L14" s="123"/>
      <x:c r="M14" s="123"/>
      <x:c r="N14" s="134" t="str">
        <x:v>Нет</x:v>
      </x:c>
    </x:row>
    <x:row r="15" ht="18" customHeight="1">
      <x:c r="A15" s="123"/>
      <x:c r="B15" s="123"/>
      <x:c r="C15" s="148"/>
      <x:c r="D15" s="148"/>
      <x:c r="E15" s="132" t="str">
        <x:f>IF(OR(C15="",D15=""),"",ROUND((D15-C15)*1440,0))</x:f>
      </x:c>
      <x:c r="F15" s="123"/>
      <x:c r="G15" s="126"/>
      <x:c r="H15" s="126"/>
      <x:c r="I15" s="126"/>
      <x:c r="J15" s="123"/>
      <x:c r="K15" s="123"/>
      <x:c r="L15" s="123"/>
      <x:c r="M15" s="123"/>
      <x:c r="N15" s="134" t="str">
        <x:v>Нет</x:v>
      </x:c>
    </x:row>
    <x:row r="16" ht="18" customHeight="1">
      <x:c r="A16" s="123"/>
      <x:c r="B16" s="123"/>
      <x:c r="C16" s="148"/>
      <x:c r="D16" s="148"/>
      <x:c r="E16" s="132" t="str">
        <x:f>IF(OR(C16="",D16=""),"",ROUND((D16-C16)*1440,0))</x:f>
      </x:c>
      <x:c r="F16" s="123"/>
      <x:c r="G16" s="126"/>
      <x:c r="H16" s="126"/>
      <x:c r="I16" s="126"/>
      <x:c r="J16" s="123"/>
      <x:c r="K16" s="123"/>
      <x:c r="L16" s="123"/>
      <x:c r="M16" s="123"/>
      <x:c r="N16" s="134" t="str">
        <x:v>Нет</x:v>
      </x:c>
    </x:row>
    <x:row r="17" ht="18" customHeight="1">
      <x:c r="A17" s="123"/>
      <x:c r="B17" s="123"/>
      <x:c r="C17" s="148"/>
      <x:c r="D17" s="148"/>
      <x:c r="E17" s="132" t="str">
        <x:f>IF(OR(C17="",D17=""),"",ROUND((D17-C17)*1440,0))</x:f>
      </x:c>
      <x:c r="F17" s="123"/>
      <x:c r="G17" s="126"/>
      <x:c r="H17" s="126"/>
      <x:c r="I17" s="126"/>
      <x:c r="J17" s="123"/>
      <x:c r="K17" s="123"/>
      <x:c r="L17" s="123"/>
      <x:c r="M17" s="123"/>
      <x:c r="N17" s="134" t="str">
        <x:v>Нет</x:v>
      </x:c>
    </x:row>
    <x:row r="18" ht="18" customHeight="1">
      <x:c r="A18" s="123"/>
      <x:c r="B18" s="123"/>
      <x:c r="C18" s="148"/>
      <x:c r="D18" s="148"/>
      <x:c r="E18" s="132" t="str">
        <x:f>IF(OR(C18="",D18=""),"",ROUND((D18-C18)*1440,0))</x:f>
      </x:c>
      <x:c r="F18" s="123"/>
      <x:c r="G18" s="126"/>
      <x:c r="H18" s="126"/>
      <x:c r="I18" s="126"/>
      <x:c r="J18" s="123"/>
      <x:c r="K18" s="123"/>
      <x:c r="L18" s="123"/>
      <x:c r="M18" s="123"/>
      <x:c r="N18" s="134" t="str">
        <x:v>Нет</x:v>
      </x:c>
    </x:row>
    <x:row r="19" ht="18" customHeight="1">
      <x:c r="A19" s="123"/>
      <x:c r="B19" s="123"/>
      <x:c r="C19" s="148"/>
      <x:c r="D19" s="148"/>
      <x:c r="E19" s="132" t="str">
        <x:f>IF(OR(C19="",D19=""),"",ROUND((D19-C19)*1440,0))</x:f>
      </x:c>
      <x:c r="F19" s="123"/>
      <x:c r="G19" s="126"/>
      <x:c r="H19" s="126"/>
      <x:c r="I19" s="126"/>
      <x:c r="J19" s="123"/>
      <x:c r="K19" s="123"/>
      <x:c r="L19" s="123"/>
      <x:c r="M19" s="123"/>
      <x:c r="N19" s="134" t="str">
        <x:v>Нет</x:v>
      </x:c>
    </x:row>
    <x:row r="20" ht="18" customHeight="1">
      <x:c r="A20" s="123"/>
      <x:c r="B20" s="123"/>
      <x:c r="C20" s="148"/>
      <x:c r="D20" s="148"/>
      <x:c r="E20" s="132" t="str">
        <x:f>IF(OR(C20="",D20=""),"",ROUND((D20-C20)*1440,0))</x:f>
      </x:c>
      <x:c r="F20" s="123"/>
      <x:c r="G20" s="126"/>
      <x:c r="H20" s="126"/>
      <x:c r="I20" s="126"/>
      <x:c r="J20" s="123"/>
      <x:c r="K20" s="123"/>
      <x:c r="L20" s="123"/>
      <x:c r="M20" s="123"/>
      <x:c r="N20" s="134" t="str">
        <x:v>Нет</x:v>
      </x:c>
    </x:row>
    <x:row r="21" ht="18" customHeight="1">
      <x:c r="A21" s="123"/>
      <x:c r="B21" s="123"/>
      <x:c r="C21" s="148"/>
      <x:c r="D21" s="148"/>
      <x:c r="E21" s="132" t="str">
        <x:f>IF(OR(C21="",D21=""),"",ROUND((D21-C21)*1440,0))</x:f>
      </x:c>
      <x:c r="F21" s="123"/>
      <x:c r="G21" s="126"/>
      <x:c r="H21" s="126"/>
      <x:c r="I21" s="126"/>
      <x:c r="J21" s="123"/>
      <x:c r="K21" s="123"/>
      <x:c r="L21" s="123"/>
      <x:c r="M21" s="123"/>
      <x:c r="N21" s="134" t="str">
        <x:v>Нет</x:v>
      </x:c>
    </x:row>
    <x:row r="22" ht="18" customHeight="1">
      <x:c r="A22" s="123"/>
      <x:c r="B22" s="123"/>
      <x:c r="C22" s="148"/>
      <x:c r="D22" s="148"/>
      <x:c r="E22" s="132" t="str">
        <x:f>IF(OR(C22="",D22=""),"",ROUND((D22-C22)*1440,0))</x:f>
      </x:c>
      <x:c r="F22" s="123"/>
      <x:c r="G22" s="126"/>
      <x:c r="H22" s="126"/>
      <x:c r="I22" s="126"/>
      <x:c r="J22" s="123"/>
      <x:c r="K22" s="123"/>
      <x:c r="L22" s="123"/>
      <x:c r="M22" s="123"/>
      <x:c r="N22" s="134" t="str">
        <x:v>Нет</x:v>
      </x:c>
    </x:row>
    <x:row r="23" ht="18" customHeight="1">
      <x:c r="A23" s="123"/>
      <x:c r="B23" s="123"/>
      <x:c r="C23" s="148"/>
      <x:c r="D23" s="148"/>
      <x:c r="E23" s="132" t="str">
        <x:f>IF(OR(C23="",D23=""),"",ROUND((D23-C23)*1440,0))</x:f>
      </x:c>
      <x:c r="F23" s="123"/>
      <x:c r="G23" s="126"/>
      <x:c r="H23" s="126"/>
      <x:c r="I23" s="126"/>
      <x:c r="J23" s="123"/>
      <x:c r="K23" s="123"/>
      <x:c r="L23" s="123"/>
      <x:c r="M23" s="123"/>
      <x:c r="N23" s="134" t="str">
        <x:v>Нет</x:v>
      </x:c>
    </x:row>
    <x:row r="24" ht="18" customHeight="1">
      <x:c r="A24" s="123"/>
      <x:c r="B24" s="123"/>
      <x:c r="C24" s="148"/>
      <x:c r="D24" s="148"/>
      <x:c r="E24" s="132" t="str">
        <x:f>IF(OR(C24="",D24=""),"",ROUND((D24-C24)*1440,0))</x:f>
      </x:c>
      <x:c r="F24" s="123"/>
      <x:c r="G24" s="126"/>
      <x:c r="H24" s="126"/>
      <x:c r="I24" s="126"/>
      <x:c r="J24" s="123"/>
      <x:c r="K24" s="123"/>
      <x:c r="L24" s="123"/>
      <x:c r="M24" s="123"/>
      <x:c r="N24" s="134" t="str">
        <x:v>Нет</x:v>
      </x:c>
    </x:row>
    <x:row r="25" ht="18" customHeight="1">
      <x:c r="A25" s="123"/>
      <x:c r="B25" s="123"/>
      <x:c r="C25" s="148"/>
      <x:c r="D25" s="148"/>
      <x:c r="E25" s="132" t="str">
        <x:f>IF(OR(C25="",D25=""),"",ROUND((D25-C25)*1440,0))</x:f>
      </x:c>
      <x:c r="F25" s="123"/>
      <x:c r="G25" s="126"/>
      <x:c r="H25" s="126"/>
      <x:c r="I25" s="126"/>
      <x:c r="J25" s="123"/>
      <x:c r="K25" s="123"/>
      <x:c r="L25" s="123"/>
      <x:c r="M25" s="123"/>
      <x:c r="N25" s="134" t="str">
        <x:v>Нет</x:v>
      </x:c>
    </x:row>
    <x:row r="26" ht="18" customHeight="1">
      <x:c r="A26" s="123"/>
      <x:c r="B26" s="123"/>
      <x:c r="C26" s="148"/>
      <x:c r="D26" s="148"/>
      <x:c r="E26" s="132" t="str">
        <x:f>IF(OR(C26="",D26=""),"",ROUND((D26-C26)*1440,0))</x:f>
      </x:c>
      <x:c r="F26" s="123"/>
      <x:c r="G26" s="126"/>
      <x:c r="H26" s="126"/>
      <x:c r="I26" s="126"/>
      <x:c r="J26" s="123"/>
      <x:c r="K26" s="123"/>
      <x:c r="L26" s="123"/>
      <x:c r="M26" s="123"/>
      <x:c r="N26" s="134" t="str">
        <x:v>Нет</x:v>
      </x:c>
    </x:row>
    <x:row r="27" ht="18" customHeight="1">
      <x:c r="A27" s="123"/>
      <x:c r="B27" s="123"/>
      <x:c r="C27" s="148"/>
      <x:c r="D27" s="148"/>
      <x:c r="E27" s="132" t="str">
        <x:f>IF(OR(C27="",D27=""),"",ROUND((D27-C27)*1440,0))</x:f>
      </x:c>
      <x:c r="F27" s="123"/>
      <x:c r="G27" s="126"/>
      <x:c r="H27" s="126"/>
      <x:c r="I27" s="126"/>
      <x:c r="J27" s="123"/>
      <x:c r="K27" s="123"/>
      <x:c r="L27" s="123"/>
      <x:c r="M27" s="123"/>
      <x:c r="N27" s="134" t="str">
        <x:v>Нет</x:v>
      </x:c>
    </x:row>
    <x:row r="28" ht="18" customHeight="1">
      <x:c r="A28" s="123"/>
      <x:c r="B28" s="123"/>
      <x:c r="C28" s="148"/>
      <x:c r="D28" s="148"/>
      <x:c r="E28" s="132" t="str">
        <x:f>IF(OR(C28="",D28=""),"",ROUND((D28-C28)*1440,0))</x:f>
      </x:c>
      <x:c r="F28" s="123"/>
      <x:c r="G28" s="126"/>
      <x:c r="H28" s="126"/>
      <x:c r="I28" s="126"/>
      <x:c r="J28" s="123"/>
      <x:c r="K28" s="123"/>
      <x:c r="L28" s="123"/>
      <x:c r="M28" s="123"/>
      <x:c r="N28" s="134" t="str">
        <x:v>Нет</x:v>
      </x:c>
    </x:row>
    <x:row r="29" ht="18" customHeight="1">
      <x:c r="A29" s="123"/>
      <x:c r="B29" s="123"/>
      <x:c r="C29" s="148"/>
      <x:c r="D29" s="148"/>
      <x:c r="E29" s="132" t="str">
        <x:f>IF(OR(C29="",D29=""),"",ROUND((D29-C29)*1440,0))</x:f>
      </x:c>
      <x:c r="F29" s="123"/>
      <x:c r="G29" s="126"/>
      <x:c r="H29" s="126"/>
      <x:c r="I29" s="126"/>
      <x:c r="J29" s="123"/>
      <x:c r="K29" s="123"/>
      <x:c r="L29" s="123"/>
      <x:c r="M29" s="123"/>
      <x:c r="N29" s="134" t="str">
        <x:v>Нет</x:v>
      </x:c>
    </x:row>
    <x:row r="30" ht="18" customHeight="1">
      <x:c r="A30" s="123"/>
      <x:c r="B30" s="123"/>
      <x:c r="C30" s="148"/>
      <x:c r="D30" s="148"/>
      <x:c r="E30" s="132" t="str">
        <x:f>IF(OR(C30="",D30=""),"",ROUND((D30-C30)*1440,0))</x:f>
      </x:c>
      <x:c r="F30" s="123"/>
      <x:c r="G30" s="126"/>
      <x:c r="H30" s="126"/>
      <x:c r="I30" s="126"/>
      <x:c r="J30" s="123"/>
      <x:c r="K30" s="123"/>
      <x:c r="L30" s="123"/>
      <x:c r="M30" s="123"/>
      <x:c r="N30" s="134" t="str">
        <x:v>Нет</x:v>
      </x:c>
    </x:row>
    <x:row r="31" ht="18" customHeight="1">
      <x:c r="A31" s="123"/>
      <x:c r="B31" s="123"/>
      <x:c r="C31" s="148"/>
      <x:c r="D31" s="148"/>
      <x:c r="E31" s="132" t="str">
        <x:f>IF(OR(C31="",D31=""),"",ROUND((D31-C31)*1440,0))</x:f>
      </x:c>
      <x:c r="F31" s="123"/>
      <x:c r="G31" s="126"/>
      <x:c r="H31" s="126"/>
      <x:c r="I31" s="126"/>
      <x:c r="J31" s="123"/>
      <x:c r="K31" s="123"/>
      <x:c r="L31" s="123"/>
      <x:c r="M31" s="123"/>
      <x:c r="N31" s="134" t="str">
        <x:v>Нет</x:v>
      </x:c>
    </x:row>
    <x:row r="32" ht="18" customHeight="1">
      <x:c r="A32" s="123"/>
      <x:c r="B32" s="123"/>
      <x:c r="C32" s="148"/>
      <x:c r="D32" s="148"/>
      <x:c r="E32" s="132" t="str">
        <x:f>IF(OR(C32="",D32=""),"",ROUND((D32-C32)*1440,0))</x:f>
      </x:c>
      <x:c r="F32" s="123"/>
      <x:c r="G32" s="126"/>
      <x:c r="H32" s="126"/>
      <x:c r="I32" s="126"/>
      <x:c r="J32" s="123"/>
      <x:c r="K32" s="123"/>
      <x:c r="L32" s="123"/>
      <x:c r="M32" s="123"/>
      <x:c r="N32" s="134" t="str">
        <x:v>Нет</x:v>
      </x:c>
    </x:row>
    <x:row r="33" ht="18" customHeight="1">
      <x:c r="A33" s="123"/>
      <x:c r="B33" s="123"/>
      <x:c r="C33" s="148"/>
      <x:c r="D33" s="148"/>
      <x:c r="E33" s="132" t="str">
        <x:f>IF(OR(C33="",D33=""),"",ROUND((D33-C33)*1440,0))</x:f>
      </x:c>
      <x:c r="F33" s="123"/>
      <x:c r="G33" s="126"/>
      <x:c r="H33" s="126"/>
      <x:c r="I33" s="126"/>
      <x:c r="J33" s="123"/>
      <x:c r="K33" s="123"/>
      <x:c r="L33" s="123"/>
      <x:c r="M33" s="123"/>
      <x:c r="N33" s="134" t="str">
        <x:v>Нет</x:v>
      </x:c>
    </x:row>
    <x:row r="34" ht="18" customHeight="1">
      <x:c r="A34" s="123"/>
      <x:c r="B34" s="123"/>
      <x:c r="C34" s="148"/>
      <x:c r="D34" s="148"/>
      <x:c r="E34" s="132" t="str">
        <x:f>IF(OR(C34="",D34=""),"",ROUND((D34-C34)*1440,0))</x:f>
      </x:c>
      <x:c r="F34" s="123"/>
      <x:c r="G34" s="126"/>
      <x:c r="H34" s="126"/>
      <x:c r="I34" s="126"/>
      <x:c r="J34" s="123"/>
      <x:c r="K34" s="123"/>
      <x:c r="L34" s="123"/>
      <x:c r="M34" s="123"/>
      <x:c r="N34" s="134" t="str">
        <x:v>Нет</x:v>
      </x:c>
    </x:row>
    <x:row r="35" ht="18" customHeight="1">
      <x:c r="A35" s="123"/>
      <x:c r="B35" s="123"/>
      <x:c r="C35" s="148"/>
      <x:c r="D35" s="148"/>
      <x:c r="E35" s="132" t="str">
        <x:f>IF(OR(C35="",D35=""),"",ROUND((D35-C35)*1440,0))</x:f>
      </x:c>
      <x:c r="F35" s="123"/>
      <x:c r="G35" s="126"/>
      <x:c r="H35" s="126"/>
      <x:c r="I35" s="126"/>
      <x:c r="J35" s="123"/>
      <x:c r="K35" s="123"/>
      <x:c r="L35" s="123"/>
      <x:c r="M35" s="123"/>
      <x:c r="N35" s="134" t="str">
        <x:v>Нет</x:v>
      </x:c>
    </x:row>
    <x:row r="36" ht="18" customHeight="1">
      <x:c r="A36" s="123"/>
      <x:c r="B36" s="123"/>
      <x:c r="C36" s="148"/>
      <x:c r="D36" s="148"/>
      <x:c r="E36" s="132" t="str">
        <x:f>IF(OR(C36="",D36=""),"",ROUND((D36-C36)*1440,0))</x:f>
      </x:c>
      <x:c r="F36" s="123"/>
      <x:c r="G36" s="126"/>
      <x:c r="H36" s="126"/>
      <x:c r="I36" s="126"/>
      <x:c r="J36" s="123"/>
      <x:c r="K36" s="123"/>
      <x:c r="L36" s="123"/>
      <x:c r="M36" s="123"/>
      <x:c r="N36" s="134" t="str">
        <x:v>Нет</x:v>
      </x:c>
    </x:row>
    <x:row r="37" ht="18" customHeight="1">
      <x:c r="A37" s="123"/>
      <x:c r="B37" s="123"/>
      <x:c r="C37" s="148"/>
      <x:c r="D37" s="148"/>
      <x:c r="E37" s="132" t="str">
        <x:f>IF(OR(C37="",D37=""),"",ROUND((D37-C37)*1440,0))</x:f>
      </x:c>
      <x:c r="F37" s="123"/>
      <x:c r="G37" s="126"/>
      <x:c r="H37" s="126"/>
      <x:c r="I37" s="126"/>
      <x:c r="J37" s="123"/>
      <x:c r="K37" s="123"/>
      <x:c r="L37" s="123"/>
      <x:c r="M37" s="123"/>
      <x:c r="N37" s="134" t="str">
        <x:v>Нет</x:v>
      </x:c>
    </x:row>
    <x:row r="38" ht="18" customHeight="1">
      <x:c r="A38" s="123"/>
      <x:c r="B38" s="123"/>
      <x:c r="C38" s="148"/>
      <x:c r="D38" s="148"/>
      <x:c r="E38" s="132" t="str">
        <x:f>IF(OR(C38="",D38=""),"",ROUND((D38-C38)*1440,0))</x:f>
      </x:c>
      <x:c r="F38" s="123"/>
      <x:c r="G38" s="126"/>
      <x:c r="H38" s="126"/>
      <x:c r="I38" s="126"/>
      <x:c r="J38" s="123"/>
      <x:c r="K38" s="123"/>
      <x:c r="L38" s="123"/>
      <x:c r="M38" s="123"/>
      <x:c r="N38" s="134" t="str">
        <x:v>Нет</x:v>
      </x:c>
    </x:row>
    <x:row r="39" ht="18" customHeight="1">
      <x:c r="A39" s="123"/>
      <x:c r="B39" s="123"/>
      <x:c r="C39" s="148"/>
      <x:c r="D39" s="148"/>
      <x:c r="E39" s="132" t="str">
        <x:f>IF(OR(C39="",D39=""),"",ROUND((D39-C39)*1440,0))</x:f>
      </x:c>
      <x:c r="F39" s="123"/>
      <x:c r="G39" s="126"/>
      <x:c r="H39" s="126"/>
      <x:c r="I39" s="126"/>
      <x:c r="J39" s="123"/>
      <x:c r="K39" s="123"/>
      <x:c r="L39" s="123"/>
      <x:c r="M39" s="123"/>
      <x:c r="N39" s="134" t="str">
        <x:v>Нет</x:v>
      </x:c>
    </x:row>
    <x:row r="40" ht="18" customHeight="1">
      <x:c r="A40" s="123"/>
      <x:c r="B40" s="123"/>
      <x:c r="C40" s="148"/>
      <x:c r="D40" s="148"/>
      <x:c r="E40" s="132" t="str">
        <x:f>IF(OR(C40="",D40=""),"",ROUND((D40-C40)*1440,0))</x:f>
      </x:c>
      <x:c r="F40" s="123"/>
      <x:c r="G40" s="126"/>
      <x:c r="H40" s="126"/>
      <x:c r="I40" s="126"/>
      <x:c r="J40" s="123"/>
      <x:c r="K40" s="123"/>
      <x:c r="L40" s="123"/>
      <x:c r="M40" s="123"/>
      <x:c r="N40" s="134" t="str">
        <x:v>Нет</x:v>
      </x:c>
    </x:row>
    <x:row r="41" ht="18" customHeight="1">
      <x:c r="A41" s="123"/>
      <x:c r="B41" s="123"/>
      <x:c r="C41" s="148"/>
      <x:c r="D41" s="148"/>
      <x:c r="E41" s="132" t="str">
        <x:f>IF(OR(C41="",D41=""),"",ROUND((D41-C41)*1440,0))</x:f>
      </x:c>
      <x:c r="F41" s="123"/>
      <x:c r="G41" s="126"/>
      <x:c r="H41" s="126"/>
      <x:c r="I41" s="126"/>
      <x:c r="J41" s="123"/>
      <x:c r="K41" s="123"/>
      <x:c r="L41" s="123"/>
      <x:c r="M41" s="123"/>
      <x:c r="N41" s="134" t="str">
        <x:v>Нет</x:v>
      </x:c>
    </x:row>
    <x:row r="42" ht="18" customHeight="1">
      <x:c r="A42" s="123"/>
      <x:c r="B42" s="123"/>
      <x:c r="C42" s="148"/>
      <x:c r="D42" s="148"/>
      <x:c r="E42" s="132" t="str">
        <x:f>IF(OR(C42="",D42=""),"",ROUND((D42-C42)*1440,0))</x:f>
      </x:c>
      <x:c r="F42" s="123"/>
      <x:c r="G42" s="126"/>
      <x:c r="H42" s="126"/>
      <x:c r="I42" s="126"/>
      <x:c r="J42" s="123"/>
      <x:c r="K42" s="123"/>
      <x:c r="L42" s="123"/>
      <x:c r="M42" s="123"/>
      <x:c r="N42" s="134" t="str">
        <x:v>Нет</x:v>
      </x:c>
    </x:row>
    <x:row r="43" ht="18" customHeight="1">
      <x:c r="A43" s="123"/>
      <x:c r="B43" s="123"/>
      <x:c r="C43" s="148"/>
      <x:c r="D43" s="148"/>
      <x:c r="E43" s="132" t="str">
        <x:f>IF(OR(C43="",D43=""),"",ROUND((D43-C43)*1440,0))</x:f>
      </x:c>
      <x:c r="F43" s="123"/>
      <x:c r="G43" s="126"/>
      <x:c r="H43" s="126"/>
      <x:c r="I43" s="126"/>
      <x:c r="J43" s="123"/>
      <x:c r="K43" s="123"/>
      <x:c r="L43" s="123"/>
      <x:c r="M43" s="123"/>
      <x:c r="N43" s="134" t="str">
        <x:v>Нет</x:v>
      </x:c>
    </x:row>
    <x:row r="44" ht="18" customHeight="1">
      <x:c r="A44" s="123"/>
      <x:c r="B44" s="123"/>
      <x:c r="C44" s="148"/>
      <x:c r="D44" s="148"/>
      <x:c r="E44" s="132" t="str">
        <x:f>IF(OR(C44="",D44=""),"",ROUND((D44-C44)*1440,0))</x:f>
      </x:c>
      <x:c r="F44" s="123"/>
      <x:c r="G44" s="126"/>
      <x:c r="H44" s="126"/>
      <x:c r="I44" s="126"/>
      <x:c r="J44" s="123"/>
      <x:c r="K44" s="123"/>
      <x:c r="L44" s="123"/>
      <x:c r="M44" s="123"/>
      <x:c r="N44" s="134" t="str">
        <x:v>Нет</x:v>
      </x:c>
    </x:row>
    <x:row r="45" ht="18" customHeight="1">
      <x:c r="A45" s="123"/>
      <x:c r="B45" s="123"/>
      <x:c r="C45" s="148"/>
      <x:c r="D45" s="148"/>
      <x:c r="E45" s="132" t="str">
        <x:f>IF(OR(C45="",D45=""),"",ROUND((D45-C45)*1440,0))</x:f>
      </x:c>
      <x:c r="F45" s="123"/>
      <x:c r="G45" s="126"/>
      <x:c r="H45" s="126"/>
      <x:c r="I45" s="126"/>
      <x:c r="J45" s="123"/>
      <x:c r="K45" s="123"/>
      <x:c r="L45" s="123"/>
      <x:c r="M45" s="123"/>
      <x:c r="N45" s="134" t="str">
        <x:v>Нет</x:v>
      </x:c>
    </x:row>
    <x:row r="46" ht="18" customHeight="1">
      <x:c r="A46" s="123"/>
      <x:c r="B46" s="123"/>
      <x:c r="C46" s="148"/>
      <x:c r="D46" s="148"/>
      <x:c r="E46" s="132" t="str">
        <x:f>IF(OR(C46="",D46=""),"",ROUND((D46-C46)*1440,0))</x:f>
      </x:c>
      <x:c r="F46" s="123"/>
      <x:c r="G46" s="126"/>
      <x:c r="H46" s="126"/>
      <x:c r="I46" s="126"/>
      <x:c r="J46" s="123"/>
      <x:c r="K46" s="123"/>
      <x:c r="L46" s="123"/>
      <x:c r="M46" s="123"/>
      <x:c r="N46" s="134" t="str">
        <x:v>Нет</x:v>
      </x:c>
    </x:row>
    <x:row r="47" ht="18" customHeight="1">
      <x:c r="A47" s="123"/>
      <x:c r="B47" s="123"/>
      <x:c r="C47" s="148"/>
      <x:c r="D47" s="148"/>
      <x:c r="E47" s="132" t="str">
        <x:f>IF(OR(C47="",D47=""),"",ROUND((D47-C47)*1440,0))</x:f>
      </x:c>
      <x:c r="F47" s="123"/>
      <x:c r="G47" s="126"/>
      <x:c r="H47" s="126"/>
      <x:c r="I47" s="126"/>
      <x:c r="J47" s="123"/>
      <x:c r="K47" s="123"/>
      <x:c r="L47" s="123"/>
      <x:c r="M47" s="123"/>
      <x:c r="N47" s="134" t="str">
        <x:v>Нет</x:v>
      </x:c>
    </x:row>
    <x:row r="48" ht="18" customHeight="1">
      <x:c r="A48" s="123"/>
      <x:c r="B48" s="123"/>
      <x:c r="C48" s="148"/>
      <x:c r="D48" s="148"/>
      <x:c r="E48" s="132" t="str">
        <x:f>IF(OR(C48="",D48=""),"",ROUND((D48-C48)*1440,0))</x:f>
      </x:c>
      <x:c r="F48" s="123"/>
      <x:c r="G48" s="126"/>
      <x:c r="H48" s="126"/>
      <x:c r="I48" s="126"/>
      <x:c r="J48" s="123"/>
      <x:c r="K48" s="123"/>
      <x:c r="L48" s="123"/>
      <x:c r="M48" s="123"/>
      <x:c r="N48" s="134" t="str">
        <x:v>Нет</x:v>
      </x:c>
    </x:row>
    <x:row r="49" ht="18" customHeight="1">
      <x:c r="A49" s="123"/>
      <x:c r="B49" s="123"/>
      <x:c r="C49" s="148"/>
      <x:c r="D49" s="148"/>
      <x:c r="E49" s="132" t="str">
        <x:f>IF(OR(C49="",D49=""),"",ROUND((D49-C49)*1440,0))</x:f>
      </x:c>
      <x:c r="F49" s="123"/>
      <x:c r="G49" s="126"/>
      <x:c r="H49" s="126"/>
      <x:c r="I49" s="126"/>
      <x:c r="J49" s="123"/>
      <x:c r="K49" s="123"/>
      <x:c r="L49" s="123"/>
      <x:c r="M49" s="123"/>
      <x:c r="N49" s="134" t="str">
        <x:v>Нет</x:v>
      </x:c>
    </x:row>
    <x:row r="50" ht="18" customHeight="1">
      <x:c r="A50" s="123"/>
      <x:c r="B50" s="123"/>
      <x:c r="C50" s="148"/>
      <x:c r="D50" s="148"/>
      <x:c r="E50" s="132" t="str">
        <x:f>IF(OR(C50="",D50=""),"",ROUND((D50-C50)*1440,0))</x:f>
      </x:c>
      <x:c r="F50" s="123"/>
      <x:c r="G50" s="126"/>
      <x:c r="H50" s="126"/>
      <x:c r="I50" s="126"/>
      <x:c r="J50" s="123"/>
      <x:c r="K50" s="123"/>
      <x:c r="L50" s="123"/>
      <x:c r="M50" s="123"/>
      <x:c r="N50" s="134" t="str">
        <x:v>Нет</x:v>
      </x:c>
    </x:row>
    <x:row r="51" ht="18" customHeight="1">
      <x:c r="A51" s="123"/>
      <x:c r="B51" s="123"/>
      <x:c r="C51" s="148"/>
      <x:c r="D51" s="148"/>
      <x:c r="E51" s="132" t="str">
        <x:f>IF(OR(C51="",D51=""),"",ROUND((D51-C51)*1440,0))</x:f>
      </x:c>
      <x:c r="F51" s="123"/>
      <x:c r="G51" s="126"/>
      <x:c r="H51" s="126"/>
      <x:c r="I51" s="126"/>
      <x:c r="J51" s="123"/>
      <x:c r="K51" s="123"/>
      <x:c r="L51" s="123"/>
      <x:c r="M51" s="123"/>
      <x:c r="N51" s="134" t="str">
        <x:v>Нет</x:v>
      </x:c>
    </x:row>
    <x:row r="52" ht="18" customHeight="1">
      <x:c r="A52" s="123"/>
      <x:c r="B52" s="123"/>
      <x:c r="C52" s="148"/>
      <x:c r="D52" s="148"/>
      <x:c r="E52" s="132" t="str">
        <x:f>IF(OR(C52="",D52=""),"",ROUND((D52-C52)*1440,0))</x:f>
      </x:c>
      <x:c r="F52" s="123"/>
      <x:c r="G52" s="126"/>
      <x:c r="H52" s="126"/>
      <x:c r="I52" s="126"/>
      <x:c r="J52" s="123"/>
      <x:c r="K52" s="123"/>
      <x:c r="L52" s="123"/>
      <x:c r="M52" s="123"/>
      <x:c r="N52" s="134" t="str">
        <x:v>Нет</x:v>
      </x:c>
    </x:row>
    <x:row r="53" ht="18" customHeight="1">
      <x:c r="A53" s="123"/>
      <x:c r="B53" s="123"/>
      <x:c r="C53" s="148"/>
      <x:c r="D53" s="148"/>
      <x:c r="E53" s="132" t="str">
        <x:f>IF(OR(C53="",D53=""),"",ROUND((D53-C53)*1440,0))</x:f>
      </x:c>
      <x:c r="F53" s="123"/>
      <x:c r="G53" s="126"/>
      <x:c r="H53" s="126"/>
      <x:c r="I53" s="126"/>
      <x:c r="J53" s="123"/>
      <x:c r="K53" s="123"/>
      <x:c r="L53" s="123"/>
      <x:c r="M53" s="123"/>
      <x:c r="N53" s="134" t="str">
        <x:v>Нет</x:v>
      </x:c>
    </x:row>
    <x:row r="54" ht="18" customHeight="1">
      <x:c r="A54" s="123"/>
      <x:c r="B54" s="123"/>
      <x:c r="C54" s="148"/>
      <x:c r="D54" s="148"/>
      <x:c r="E54" s="132" t="str">
        <x:f>IF(OR(C54="",D54=""),"",ROUND((D54-C54)*1440,0))</x:f>
      </x:c>
      <x:c r="F54" s="123"/>
      <x:c r="G54" s="126"/>
      <x:c r="H54" s="126"/>
      <x:c r="I54" s="126"/>
      <x:c r="J54" s="123"/>
      <x:c r="K54" s="123"/>
      <x:c r="L54" s="123"/>
      <x:c r="M54" s="123"/>
      <x:c r="N54" s="134" t="str">
        <x:v>Нет</x:v>
      </x:c>
    </x:row>
    <x:row r="55" ht="18" customHeight="1">
      <x:c r="A55" s="123"/>
      <x:c r="B55" s="123"/>
      <x:c r="C55" s="148"/>
      <x:c r="D55" s="148"/>
      <x:c r="E55" s="132" t="str">
        <x:f>IF(OR(C55="",D55=""),"",ROUND((D55-C55)*1440,0))</x:f>
      </x:c>
      <x:c r="F55" s="123"/>
      <x:c r="G55" s="126"/>
      <x:c r="H55" s="126"/>
      <x:c r="I55" s="126"/>
      <x:c r="J55" s="123"/>
      <x:c r="K55" s="123"/>
      <x:c r="L55" s="123"/>
      <x:c r="M55" s="123"/>
      <x:c r="N55" s="134" t="str">
        <x:v>Нет</x:v>
      </x:c>
    </x:row>
    <x:row r="56" ht="18" customHeight="1">
      <x:c r="A56" s="123"/>
      <x:c r="B56" s="123"/>
      <x:c r="C56" s="148"/>
      <x:c r="D56" s="148"/>
      <x:c r="E56" s="132" t="str">
        <x:f>IF(OR(C56="",D56=""),"",ROUND((D56-C56)*1440,0))</x:f>
      </x:c>
      <x:c r="F56" s="123"/>
      <x:c r="G56" s="126"/>
      <x:c r="H56" s="126"/>
      <x:c r="I56" s="126"/>
      <x:c r="J56" s="123"/>
      <x:c r="K56" s="123"/>
      <x:c r="L56" s="123"/>
      <x:c r="M56" s="123"/>
      <x:c r="N56" s="134" t="str">
        <x:v>Нет</x:v>
      </x:c>
    </x:row>
    <x:row r="57" ht="18" customHeight="1">
      <x:c r="A57" s="123"/>
      <x:c r="B57" s="123"/>
      <x:c r="C57" s="148"/>
      <x:c r="D57" s="148"/>
      <x:c r="E57" s="132" t="str">
        <x:f>IF(OR(C57="",D57=""),"",ROUND((D57-C57)*1440,0))</x:f>
      </x:c>
      <x:c r="F57" s="123"/>
      <x:c r="G57" s="126"/>
      <x:c r="H57" s="126"/>
      <x:c r="I57" s="126"/>
      <x:c r="J57" s="123"/>
      <x:c r="K57" s="123"/>
      <x:c r="L57" s="123"/>
      <x:c r="M57" s="123"/>
      <x:c r="N57" s="134" t="str">
        <x:v>Нет</x:v>
      </x:c>
    </x:row>
    <x:row r="58" ht="18" customHeight="1">
      <x:c r="A58" s="123"/>
      <x:c r="B58" s="123"/>
      <x:c r="C58" s="148"/>
      <x:c r="D58" s="148"/>
      <x:c r="E58" s="132" t="str">
        <x:f>IF(OR(C58="",D58=""),"",ROUND((D58-C58)*1440,0))</x:f>
      </x:c>
      <x:c r="F58" s="123"/>
      <x:c r="G58" s="126"/>
      <x:c r="H58" s="126"/>
      <x:c r="I58" s="126"/>
      <x:c r="J58" s="123"/>
      <x:c r="K58" s="123"/>
      <x:c r="L58" s="123"/>
      <x:c r="M58" s="123"/>
      <x:c r="N58" s="134" t="str">
        <x:v>Нет</x:v>
      </x:c>
    </x:row>
    <x:row r="59" ht="18" customHeight="1">
      <x:c r="A59" s="123"/>
      <x:c r="B59" s="123"/>
      <x:c r="C59" s="148"/>
      <x:c r="D59" s="148"/>
      <x:c r="E59" s="132" t="str">
        <x:f>IF(OR(C59="",D59=""),"",ROUND((D59-C59)*1440,0))</x:f>
      </x:c>
      <x:c r="F59" s="123"/>
      <x:c r="G59" s="126"/>
      <x:c r="H59" s="126"/>
      <x:c r="I59" s="126"/>
      <x:c r="J59" s="123"/>
      <x:c r="K59" s="123"/>
      <x:c r="L59" s="123"/>
      <x:c r="M59" s="123"/>
      <x:c r="N59" s="134" t="str">
        <x:v>Нет</x:v>
      </x:c>
    </x:row>
    <x:row r="60" ht="18" customHeight="1">
      <x:c r="A60" s="123"/>
      <x:c r="B60" s="123"/>
      <x:c r="C60" s="148"/>
      <x:c r="D60" s="148"/>
      <x:c r="E60" s="132" t="str">
        <x:f>IF(OR(C60="",D60=""),"",ROUND((D60-C60)*1440,0))</x:f>
      </x:c>
      <x:c r="F60" s="123"/>
      <x:c r="G60" s="126"/>
      <x:c r="H60" s="126"/>
      <x:c r="I60" s="126"/>
      <x:c r="J60" s="123"/>
      <x:c r="K60" s="123"/>
      <x:c r="L60" s="123"/>
      <x:c r="M60" s="123"/>
      <x:c r="N60" s="134" t="str">
        <x:v>Нет</x:v>
      </x:c>
    </x:row>
    <x:row r="61" ht="18" customHeight="1">
      <x:c r="A61" s="123"/>
      <x:c r="B61" s="123"/>
      <x:c r="C61" s="148"/>
      <x:c r="D61" s="148"/>
      <x:c r="E61" s="132" t="str">
        <x:f>IF(OR(C61="",D61=""),"",ROUND((D61-C61)*1440,0))</x:f>
      </x:c>
      <x:c r="F61" s="123"/>
      <x:c r="G61" s="126"/>
      <x:c r="H61" s="126"/>
      <x:c r="I61" s="126"/>
      <x:c r="J61" s="123"/>
      <x:c r="K61" s="123"/>
      <x:c r="L61" s="123"/>
      <x:c r="M61" s="123"/>
      <x:c r="N61" s="134" t="str">
        <x:v>Нет</x:v>
      </x:c>
    </x:row>
    <x:row r="62" ht="18" customHeight="1">
      <x:c r="A62" s="123"/>
      <x:c r="B62" s="123"/>
      <x:c r="C62" s="148"/>
      <x:c r="D62" s="148"/>
      <x:c r="E62" s="132" t="str">
        <x:f>IF(OR(C62="",D62=""),"",ROUND((D62-C62)*1440,0))</x:f>
      </x:c>
      <x:c r="F62" s="123"/>
      <x:c r="G62" s="126"/>
      <x:c r="H62" s="126"/>
      <x:c r="I62" s="126"/>
      <x:c r="J62" s="123"/>
      <x:c r="K62" s="123"/>
      <x:c r="L62" s="123"/>
      <x:c r="M62" s="123"/>
      <x:c r="N62" s="134" t="str">
        <x:v>Нет</x:v>
      </x:c>
    </x:row>
    <x:row r="63" ht="18" customHeight="1">
      <x:c r="A63" s="123"/>
      <x:c r="B63" s="123"/>
      <x:c r="C63" s="148"/>
      <x:c r="D63" s="148"/>
      <x:c r="E63" s="132" t="str">
        <x:f>IF(OR(C63="",D63=""),"",ROUND((D63-C63)*1440,0))</x:f>
      </x:c>
      <x:c r="F63" s="123"/>
      <x:c r="G63" s="126"/>
      <x:c r="H63" s="126"/>
      <x:c r="I63" s="126"/>
      <x:c r="J63" s="123"/>
      <x:c r="K63" s="123"/>
      <x:c r="L63" s="123"/>
      <x:c r="M63" s="123"/>
      <x:c r="N63" s="134" t="str">
        <x:v>Нет</x:v>
      </x:c>
    </x:row>
    <x:row r="64" ht="18" customHeight="1">
      <x:c r="A64" s="123"/>
      <x:c r="B64" s="123"/>
      <x:c r="C64" s="148"/>
      <x:c r="D64" s="148"/>
      <x:c r="E64" s="132" t="str">
        <x:f>IF(OR(C64="",D64=""),"",ROUND((D64-C64)*1440,0))</x:f>
      </x:c>
      <x:c r="F64" s="123"/>
      <x:c r="G64" s="126"/>
      <x:c r="H64" s="126"/>
      <x:c r="I64" s="126"/>
      <x:c r="J64" s="123"/>
      <x:c r="K64" s="123"/>
      <x:c r="L64" s="123"/>
      <x:c r="M64" s="123"/>
      <x:c r="N64" s="134" t="str">
        <x:v>Нет</x:v>
      </x:c>
    </x:row>
    <x:row r="65" ht="18" customHeight="1">
      <x:c r="A65" s="123"/>
      <x:c r="B65" s="123"/>
      <x:c r="C65" s="148"/>
      <x:c r="D65" s="148"/>
      <x:c r="E65" s="132" t="str">
        <x:f>IF(OR(C65="",D65=""),"",ROUND((D65-C65)*1440,0))</x:f>
      </x:c>
      <x:c r="F65" s="123"/>
      <x:c r="G65" s="126"/>
      <x:c r="H65" s="126"/>
      <x:c r="I65" s="126"/>
      <x:c r="J65" s="123"/>
      <x:c r="K65" s="123"/>
      <x:c r="L65" s="123"/>
      <x:c r="M65" s="123"/>
      <x:c r="N65" s="134" t="str">
        <x:v>Нет</x:v>
      </x:c>
    </x:row>
    <x:row r="66" ht="18" customHeight="1">
      <x:c r="A66" s="123"/>
      <x:c r="B66" s="123"/>
      <x:c r="C66" s="148"/>
      <x:c r="D66" s="148"/>
      <x:c r="E66" s="132" t="str">
        <x:f>IF(OR(C66="",D66=""),"",ROUND((D66-C66)*1440,0))</x:f>
      </x:c>
      <x:c r="F66" s="123"/>
      <x:c r="G66" s="126"/>
      <x:c r="H66" s="126"/>
      <x:c r="I66" s="126"/>
      <x:c r="J66" s="123"/>
      <x:c r="K66" s="123"/>
      <x:c r="L66" s="123"/>
      <x:c r="M66" s="123"/>
      <x:c r="N66" s="134" t="str">
        <x:v>Нет</x:v>
      </x:c>
    </x:row>
    <x:row r="67" ht="18" customHeight="1">
      <x:c r="A67" s="123"/>
      <x:c r="B67" s="123"/>
      <x:c r="C67" s="148"/>
      <x:c r="D67" s="148"/>
      <x:c r="E67" s="132" t="str">
        <x:f>IF(OR(C67="",D67=""),"",ROUND((D67-C67)*1440,0))</x:f>
      </x:c>
      <x:c r="F67" s="123"/>
      <x:c r="G67" s="126"/>
      <x:c r="H67" s="126"/>
      <x:c r="I67" s="126"/>
      <x:c r="J67" s="123"/>
      <x:c r="K67" s="123"/>
      <x:c r="L67" s="123"/>
      <x:c r="M67" s="123"/>
      <x:c r="N67" s="134" t="str">
        <x:v>Нет</x:v>
      </x:c>
    </x:row>
    <x:row r="68" ht="18" customHeight="1">
      <x:c r="A68" s="123"/>
      <x:c r="B68" s="123"/>
      <x:c r="C68" s="148"/>
      <x:c r="D68" s="148"/>
      <x:c r="E68" s="132" t="str">
        <x:f>IF(OR(C68="",D68=""),"",ROUND((D68-C68)*1440,0))</x:f>
      </x:c>
      <x:c r="F68" s="123"/>
      <x:c r="G68" s="126"/>
      <x:c r="H68" s="126"/>
      <x:c r="I68" s="126"/>
      <x:c r="J68" s="123"/>
      <x:c r="K68" s="123"/>
      <x:c r="L68" s="123"/>
      <x:c r="M68" s="123"/>
      <x:c r="N68" s="134" t="str">
        <x:v>Нет</x:v>
      </x:c>
    </x:row>
    <x:row r="69" ht="18" customHeight="1">
      <x:c r="A69" s="123"/>
      <x:c r="B69" s="123"/>
      <x:c r="C69" s="148"/>
      <x:c r="D69" s="148"/>
      <x:c r="E69" s="132" t="str">
        <x:f>IF(OR(C69="",D69=""),"",ROUND((D69-C69)*1440,0))</x:f>
      </x:c>
      <x:c r="F69" s="123"/>
      <x:c r="G69" s="126"/>
      <x:c r="H69" s="126"/>
      <x:c r="I69" s="126"/>
      <x:c r="J69" s="123"/>
      <x:c r="K69" s="123"/>
      <x:c r="L69" s="123"/>
      <x:c r="M69" s="123"/>
      <x:c r="N69" s="134" t="str">
        <x:v>Нет</x:v>
      </x:c>
    </x:row>
    <x:row r="70" ht="18" customHeight="1">
      <x:c r="A70" s="123"/>
      <x:c r="B70" s="123"/>
      <x:c r="C70" s="148"/>
      <x:c r="D70" s="148"/>
      <x:c r="E70" s="132" t="str">
        <x:f>IF(OR(C70="",D70=""),"",ROUND((D70-C70)*1440,0))</x:f>
      </x:c>
      <x:c r="F70" s="123"/>
      <x:c r="G70" s="126"/>
      <x:c r="H70" s="126"/>
      <x:c r="I70" s="126"/>
      <x:c r="J70" s="123"/>
      <x:c r="K70" s="123"/>
      <x:c r="L70" s="123"/>
      <x:c r="M70" s="123"/>
      <x:c r="N70" s="134" t="str">
        <x:v>Нет</x:v>
      </x:c>
    </x:row>
    <x:row r="71" ht="18" customHeight="1">
      <x:c r="A71" s="123"/>
      <x:c r="B71" s="123"/>
      <x:c r="C71" s="148"/>
      <x:c r="D71" s="148"/>
      <x:c r="E71" s="132" t="str">
        <x:f>IF(OR(C71="",D71=""),"",ROUND((D71-C71)*1440,0))</x:f>
      </x:c>
      <x:c r="F71" s="123"/>
      <x:c r="G71" s="126"/>
      <x:c r="H71" s="126"/>
      <x:c r="I71" s="126"/>
      <x:c r="J71" s="123"/>
      <x:c r="K71" s="123"/>
      <x:c r="L71" s="123"/>
      <x:c r="M71" s="123"/>
      <x:c r="N71" s="134" t="str">
        <x:v>Нет</x:v>
      </x:c>
    </x:row>
    <x:row r="72" ht="18" customHeight="1">
      <x:c r="A72" s="123"/>
      <x:c r="B72" s="123"/>
      <x:c r="C72" s="148"/>
      <x:c r="D72" s="148"/>
      <x:c r="E72" s="132" t="str">
        <x:f>IF(OR(C72="",D72=""),"",ROUND((D72-C72)*1440,0))</x:f>
      </x:c>
      <x:c r="F72" s="123"/>
      <x:c r="G72" s="126"/>
      <x:c r="H72" s="126"/>
      <x:c r="I72" s="126"/>
      <x:c r="J72" s="123"/>
      <x:c r="K72" s="123"/>
      <x:c r="L72" s="123"/>
      <x:c r="M72" s="123"/>
      <x:c r="N72" s="134" t="str">
        <x:v>Нет</x:v>
      </x:c>
    </x:row>
    <x:row r="73" ht="18" customHeight="1">
      <x:c r="A73" s="123"/>
      <x:c r="B73" s="123"/>
      <x:c r="C73" s="148"/>
      <x:c r="D73" s="148"/>
      <x:c r="E73" s="132" t="str">
        <x:f>IF(OR(C73="",D73=""),"",ROUND((D73-C73)*1440,0))</x:f>
      </x:c>
      <x:c r="F73" s="123"/>
      <x:c r="G73" s="126"/>
      <x:c r="H73" s="126"/>
      <x:c r="I73" s="126"/>
      <x:c r="J73" s="123"/>
      <x:c r="K73" s="123"/>
      <x:c r="L73" s="123"/>
      <x:c r="M73" s="123"/>
      <x:c r="N73" s="134" t="str">
        <x:v>Нет</x:v>
      </x:c>
    </x:row>
    <x:row r="74" ht="18" customHeight="1">
      <x:c r="A74" s="123"/>
      <x:c r="B74" s="123"/>
      <x:c r="C74" s="148"/>
      <x:c r="D74" s="148"/>
      <x:c r="E74" s="132" t="str">
        <x:f>IF(OR(C74="",D74=""),"",ROUND((D74-C74)*1440,0))</x:f>
      </x:c>
      <x:c r="F74" s="123"/>
      <x:c r="G74" s="126"/>
      <x:c r="H74" s="126"/>
      <x:c r="I74" s="126"/>
      <x:c r="J74" s="123"/>
      <x:c r="K74" s="123"/>
      <x:c r="L74" s="123"/>
      <x:c r="M74" s="123"/>
      <x:c r="N74" s="134" t="str">
        <x:v>Нет</x:v>
      </x:c>
    </x:row>
    <x:row r="75" ht="18" customHeight="1">
      <x:c r="A75" s="123"/>
      <x:c r="B75" s="123"/>
      <x:c r="C75" s="148"/>
      <x:c r="D75" s="148"/>
      <x:c r="E75" s="132" t="str">
        <x:f>IF(OR(C75="",D75=""),"",ROUND((D75-C75)*1440,0))</x:f>
      </x:c>
      <x:c r="F75" s="123"/>
      <x:c r="G75" s="126"/>
      <x:c r="H75" s="126"/>
      <x:c r="I75" s="126"/>
      <x:c r="J75" s="123"/>
      <x:c r="K75" s="123"/>
      <x:c r="L75" s="123"/>
      <x:c r="M75" s="123"/>
      <x:c r="N75" s="134" t="str">
        <x:v>Нет</x:v>
      </x:c>
    </x:row>
    <x:row r="76" ht="18" customHeight="1">
      <x:c r="A76" s="123"/>
      <x:c r="B76" s="123"/>
      <x:c r="C76" s="148"/>
      <x:c r="D76" s="148"/>
      <x:c r="E76" s="132" t="str">
        <x:f>IF(OR(C76="",D76=""),"",ROUND((D76-C76)*1440,0))</x:f>
      </x:c>
      <x:c r="F76" s="123"/>
      <x:c r="G76" s="126"/>
      <x:c r="H76" s="126"/>
      <x:c r="I76" s="126"/>
      <x:c r="J76" s="123"/>
      <x:c r="K76" s="123"/>
      <x:c r="L76" s="123"/>
      <x:c r="M76" s="123"/>
      <x:c r="N76" s="134" t="str">
        <x:v>Нет</x:v>
      </x:c>
    </x:row>
    <x:row r="77" ht="18" customHeight="1">
      <x:c r="A77" s="123"/>
      <x:c r="B77" s="123"/>
      <x:c r="C77" s="148"/>
      <x:c r="D77" s="148"/>
      <x:c r="E77" s="132" t="str">
        <x:f>IF(OR(C77="",D77=""),"",ROUND((D77-C77)*1440,0))</x:f>
      </x:c>
      <x:c r="F77" s="123"/>
      <x:c r="G77" s="126"/>
      <x:c r="H77" s="126"/>
      <x:c r="I77" s="126"/>
      <x:c r="J77" s="123"/>
      <x:c r="K77" s="123"/>
      <x:c r="L77" s="123"/>
      <x:c r="M77" s="123"/>
      <x:c r="N77" s="134" t="str">
        <x:v>Нет</x:v>
      </x:c>
    </x:row>
    <x:row r="78" ht="18" customHeight="1">
      <x:c r="A78" s="123"/>
      <x:c r="B78" s="123"/>
      <x:c r="C78" s="148"/>
      <x:c r="D78" s="148"/>
      <x:c r="E78" s="132" t="str">
        <x:f>IF(OR(C78="",D78=""),"",ROUND((D78-C78)*1440,0))</x:f>
      </x:c>
      <x:c r="F78" s="123"/>
      <x:c r="G78" s="126"/>
      <x:c r="H78" s="126"/>
      <x:c r="I78" s="126"/>
      <x:c r="J78" s="123"/>
      <x:c r="K78" s="123"/>
      <x:c r="L78" s="123"/>
      <x:c r="M78" s="123"/>
      <x:c r="N78" s="134" t="str">
        <x:v>Нет</x:v>
      </x:c>
    </x:row>
    <x:row r="79" ht="18" customHeight="1">
      <x:c r="A79" s="123"/>
      <x:c r="B79" s="123"/>
      <x:c r="C79" s="148"/>
      <x:c r="D79" s="148"/>
      <x:c r="E79" s="132" t="str">
        <x:f>IF(OR(C79="",D79=""),"",ROUND((D79-C79)*1440,0))</x:f>
      </x:c>
      <x:c r="F79" s="123"/>
      <x:c r="G79" s="126"/>
      <x:c r="H79" s="126"/>
      <x:c r="I79" s="126"/>
      <x:c r="J79" s="123"/>
      <x:c r="K79" s="123"/>
      <x:c r="L79" s="123"/>
      <x:c r="M79" s="123"/>
      <x:c r="N79" s="134" t="str">
        <x:v>Нет</x:v>
      </x:c>
    </x:row>
    <x:row r="80" ht="18" customHeight="1">
      <x:c r="A80" s="123"/>
      <x:c r="B80" s="123"/>
      <x:c r="C80" s="148"/>
      <x:c r="D80" s="148"/>
      <x:c r="E80" s="132" t="str">
        <x:f>IF(OR(C80="",D80=""),"",ROUND((D80-C80)*1440,0))</x:f>
      </x:c>
      <x:c r="F80" s="123"/>
      <x:c r="G80" s="126"/>
      <x:c r="H80" s="126"/>
      <x:c r="I80" s="126"/>
      <x:c r="J80" s="123"/>
      <x:c r="K80" s="123"/>
      <x:c r="L80" s="123"/>
      <x:c r="M80" s="123"/>
      <x:c r="N80" s="134" t="str">
        <x:v>Нет</x:v>
      </x:c>
    </x:row>
    <x:row r="81" ht="18" customHeight="1">
      <x:c r="A81" s="123"/>
      <x:c r="B81" s="123"/>
      <x:c r="C81" s="148"/>
      <x:c r="D81" s="148"/>
      <x:c r="E81" s="132" t="str">
        <x:f>IF(OR(C81="",D81=""),"",ROUND((D81-C81)*1440,0))</x:f>
      </x:c>
      <x:c r="F81" s="123"/>
      <x:c r="G81" s="126"/>
      <x:c r="H81" s="126"/>
      <x:c r="I81" s="126"/>
      <x:c r="J81" s="123"/>
      <x:c r="K81" s="123"/>
      <x:c r="L81" s="123"/>
      <x:c r="M81" s="123"/>
      <x:c r="N81" s="134" t="str">
        <x:v>Нет</x:v>
      </x:c>
    </x:row>
    <x:row r="82" ht="18" customHeight="1">
      <x:c r="A82" s="123"/>
      <x:c r="B82" s="123"/>
      <x:c r="C82" s="148"/>
      <x:c r="D82" s="148"/>
      <x:c r="E82" s="132" t="str">
        <x:f>IF(OR(C82="",D82=""),"",ROUND((D82-C82)*1440,0))</x:f>
      </x:c>
      <x:c r="F82" s="123"/>
      <x:c r="G82" s="126"/>
      <x:c r="H82" s="126"/>
      <x:c r="I82" s="126"/>
      <x:c r="J82" s="123"/>
      <x:c r="K82" s="123"/>
      <x:c r="L82" s="123"/>
      <x:c r="M82" s="123"/>
      <x:c r="N82" s="134" t="str">
        <x:v>Нет</x:v>
      </x:c>
    </x:row>
    <x:row r="83" ht="18" customHeight="1">
      <x:c r="A83" s="123"/>
      <x:c r="B83" s="123"/>
      <x:c r="C83" s="148"/>
      <x:c r="D83" s="148"/>
      <x:c r="E83" s="132" t="str">
        <x:f>IF(OR(C83="",D83=""),"",ROUND((D83-C83)*1440,0))</x:f>
      </x:c>
      <x:c r="F83" s="123"/>
      <x:c r="G83" s="126"/>
      <x:c r="H83" s="126"/>
      <x:c r="I83" s="126"/>
      <x:c r="J83" s="123"/>
      <x:c r="K83" s="123"/>
      <x:c r="L83" s="123"/>
      <x:c r="M83" s="123"/>
      <x:c r="N83" s="134" t="str">
        <x:v>Нет</x:v>
      </x:c>
    </x:row>
    <x:row r="84" ht="18" customHeight="1">
      <x:c r="A84" s="123"/>
      <x:c r="B84" s="123"/>
      <x:c r="C84" s="148"/>
      <x:c r="D84" s="148"/>
      <x:c r="E84" s="132" t="str">
        <x:f>IF(OR(C84="",D84=""),"",ROUND((D84-C84)*1440,0))</x:f>
      </x:c>
      <x:c r="F84" s="123"/>
      <x:c r="G84" s="126"/>
      <x:c r="H84" s="126"/>
      <x:c r="I84" s="126"/>
      <x:c r="J84" s="123"/>
      <x:c r="K84" s="123"/>
      <x:c r="L84" s="123"/>
      <x:c r="M84" s="123"/>
      <x:c r="N84" s="134" t="str">
        <x:v>Нет</x:v>
      </x:c>
    </x:row>
    <x:row r="85" ht="18" customHeight="1">
      <x:c r="A85" s="123"/>
      <x:c r="B85" s="123"/>
      <x:c r="C85" s="148"/>
      <x:c r="D85" s="148"/>
      <x:c r="E85" s="132" t="str">
        <x:f>IF(OR(C85="",D85=""),"",ROUND((D85-C85)*1440,0))</x:f>
      </x:c>
      <x:c r="F85" s="123"/>
      <x:c r="G85" s="126"/>
      <x:c r="H85" s="126"/>
      <x:c r="I85" s="126"/>
      <x:c r="J85" s="123"/>
      <x:c r="K85" s="123"/>
      <x:c r="L85" s="123"/>
      <x:c r="M85" s="123"/>
      <x:c r="N85" s="134" t="str">
        <x:v>Нет</x:v>
      </x:c>
    </x:row>
    <x:row r="86" ht="18" customHeight="1">
      <x:c r="A86" s="123"/>
      <x:c r="B86" s="123"/>
      <x:c r="C86" s="148"/>
      <x:c r="D86" s="148"/>
      <x:c r="E86" s="132" t="str">
        <x:f>IF(OR(C86="",D86=""),"",ROUND((D86-C86)*1440,0))</x:f>
      </x:c>
      <x:c r="F86" s="123"/>
      <x:c r="G86" s="126"/>
      <x:c r="H86" s="126"/>
      <x:c r="I86" s="126"/>
      <x:c r="J86" s="123"/>
      <x:c r="K86" s="123"/>
      <x:c r="L86" s="123"/>
      <x:c r="M86" s="123"/>
      <x:c r="N86" s="134" t="str">
        <x:v>Нет</x:v>
      </x:c>
    </x:row>
    <x:row r="87" ht="18" customHeight="1">
      <x:c r="A87" s="123"/>
      <x:c r="B87" s="123"/>
      <x:c r="C87" s="148"/>
      <x:c r="D87" s="148"/>
      <x:c r="E87" s="132" t="str">
        <x:f>IF(OR(C87="",D87=""),"",ROUND((D87-C87)*1440,0))</x:f>
      </x:c>
      <x:c r="F87" s="123"/>
      <x:c r="G87" s="126"/>
      <x:c r="H87" s="126"/>
      <x:c r="I87" s="126"/>
      <x:c r="J87" s="123"/>
      <x:c r="K87" s="123"/>
      <x:c r="L87" s="123"/>
      <x:c r="M87" s="123"/>
      <x:c r="N87" s="134" t="str">
        <x:v>Нет</x:v>
      </x:c>
    </x:row>
    <x:row r="88" ht="18" customHeight="1">
      <x:c r="A88" s="123"/>
      <x:c r="B88" s="123"/>
      <x:c r="C88" s="148"/>
      <x:c r="D88" s="148"/>
      <x:c r="E88" s="132" t="str">
        <x:f>IF(OR(C88="",D88=""),"",ROUND((D88-C88)*1440,0))</x:f>
      </x:c>
      <x:c r="F88" s="123"/>
      <x:c r="G88" s="126"/>
      <x:c r="H88" s="126"/>
      <x:c r="I88" s="126"/>
      <x:c r="J88" s="123"/>
      <x:c r="K88" s="123"/>
      <x:c r="L88" s="123"/>
      <x:c r="M88" s="123"/>
      <x:c r="N88" s="134" t="str">
        <x:v>Нет</x:v>
      </x:c>
    </x:row>
    <x:row r="89" ht="18" customHeight="1">
      <x:c r="A89" s="123"/>
      <x:c r="B89" s="123"/>
      <x:c r="C89" s="148"/>
      <x:c r="D89" s="148"/>
      <x:c r="E89" s="132" t="str">
        <x:f>IF(OR(C89="",D89=""),"",ROUND((D89-C89)*1440,0))</x:f>
      </x:c>
      <x:c r="F89" s="123"/>
      <x:c r="G89" s="126"/>
      <x:c r="H89" s="126"/>
      <x:c r="I89" s="126"/>
      <x:c r="J89" s="123"/>
      <x:c r="K89" s="123"/>
      <x:c r="L89" s="123"/>
      <x:c r="M89" s="123"/>
      <x:c r="N89" s="134" t="str">
        <x:v>Нет</x:v>
      </x:c>
    </x:row>
    <x:row r="90" ht="18" customHeight="1">
      <x:c r="A90" s="123"/>
      <x:c r="B90" s="123"/>
      <x:c r="C90" s="148"/>
      <x:c r="D90" s="148"/>
      <x:c r="E90" s="132" t="str">
        <x:f>IF(OR(C90="",D90=""),"",ROUND((D90-C90)*1440,0))</x:f>
      </x:c>
      <x:c r="F90" s="123"/>
      <x:c r="G90" s="126"/>
      <x:c r="H90" s="126"/>
      <x:c r="I90" s="126"/>
      <x:c r="J90" s="123"/>
      <x:c r="K90" s="123"/>
      <x:c r="L90" s="123"/>
      <x:c r="M90" s="123"/>
      <x:c r="N90" s="134" t="str">
        <x:v>Нет</x:v>
      </x:c>
    </x:row>
    <x:row r="91" ht="18" customHeight="1">
      <x:c r="A91" s="123"/>
      <x:c r="B91" s="123"/>
      <x:c r="C91" s="148"/>
      <x:c r="D91" s="148"/>
      <x:c r="E91" s="132" t="str">
        <x:f>IF(OR(C91="",D91=""),"",ROUND((D91-C91)*1440,0))</x:f>
      </x:c>
      <x:c r="F91" s="123"/>
      <x:c r="G91" s="126"/>
      <x:c r="H91" s="126"/>
      <x:c r="I91" s="126"/>
      <x:c r="J91" s="123"/>
      <x:c r="K91" s="123"/>
      <x:c r="L91" s="123"/>
      <x:c r="M91" s="123"/>
      <x:c r="N91" s="134" t="str">
        <x:v>Нет</x:v>
      </x:c>
    </x:row>
    <x:row r="92" ht="18" customHeight="1">
      <x:c r="A92" s="123"/>
      <x:c r="B92" s="123"/>
      <x:c r="C92" s="148"/>
      <x:c r="D92" s="148"/>
      <x:c r="E92" s="132" t="str">
        <x:f>IF(OR(C92="",D92=""),"",ROUND((D92-C92)*1440,0))</x:f>
      </x:c>
      <x:c r="F92" s="123"/>
      <x:c r="G92" s="126"/>
      <x:c r="H92" s="126"/>
      <x:c r="I92" s="126"/>
      <x:c r="J92" s="123"/>
      <x:c r="K92" s="123"/>
      <x:c r="L92" s="123"/>
      <x:c r="M92" s="123"/>
      <x:c r="N92" s="134" t="str">
        <x:v>Нет</x:v>
      </x:c>
    </x:row>
    <x:row r="93" ht="18" customHeight="1">
      <x:c r="A93" s="123"/>
      <x:c r="B93" s="123"/>
      <x:c r="C93" s="148"/>
      <x:c r="D93" s="148"/>
      <x:c r="E93" s="132" t="str">
        <x:f>IF(OR(C93="",D93=""),"",ROUND((D93-C93)*1440,0))</x:f>
      </x:c>
      <x:c r="F93" s="123"/>
      <x:c r="G93" s="126"/>
      <x:c r="H93" s="126"/>
      <x:c r="I93" s="126"/>
      <x:c r="J93" s="123"/>
      <x:c r="K93" s="123"/>
      <x:c r="L93" s="123"/>
      <x:c r="M93" s="123"/>
      <x:c r="N93" s="134" t="str">
        <x:v>Нет</x:v>
      </x:c>
    </x:row>
    <x:row r="94" ht="18" customHeight="1">
      <x:c r="A94" s="123"/>
      <x:c r="B94" s="123"/>
      <x:c r="C94" s="148"/>
      <x:c r="D94" s="148"/>
      <x:c r="E94" s="132" t="str">
        <x:f>IF(OR(C94="",D94=""),"",ROUND((D94-C94)*1440,0))</x:f>
      </x:c>
      <x:c r="F94" s="123"/>
      <x:c r="G94" s="126"/>
      <x:c r="H94" s="126"/>
      <x:c r="I94" s="126"/>
      <x:c r="J94" s="123"/>
      <x:c r="K94" s="123"/>
      <x:c r="L94" s="123"/>
      <x:c r="M94" s="123"/>
      <x:c r="N94" s="134" t="str">
        <x:v>Нет</x:v>
      </x:c>
    </x:row>
    <x:row r="95" ht="18" customHeight="1">
      <x:c r="A95" s="123"/>
      <x:c r="B95" s="123"/>
      <x:c r="C95" s="148"/>
      <x:c r="D95" s="148"/>
      <x:c r="E95" s="132" t="str">
        <x:f>IF(OR(C95="",D95=""),"",ROUND((D95-C95)*1440,0))</x:f>
      </x:c>
      <x:c r="F95" s="123"/>
      <x:c r="G95" s="126"/>
      <x:c r="H95" s="126"/>
      <x:c r="I95" s="126"/>
      <x:c r="J95" s="123"/>
      <x:c r="K95" s="123"/>
      <x:c r="L95" s="123"/>
      <x:c r="M95" s="123"/>
      <x:c r="N95" s="134" t="str">
        <x:v>Нет</x:v>
      </x:c>
    </x:row>
    <x:row r="96" ht="18" customHeight="1">
      <x:c r="A96" s="123"/>
      <x:c r="B96" s="123"/>
      <x:c r="C96" s="148"/>
      <x:c r="D96" s="148"/>
      <x:c r="E96" s="132" t="str">
        <x:f>IF(OR(C96="",D96=""),"",ROUND((D96-C96)*1440,0))</x:f>
      </x:c>
      <x:c r="F96" s="123"/>
      <x:c r="G96" s="126"/>
      <x:c r="H96" s="126"/>
      <x:c r="I96" s="126"/>
      <x:c r="J96" s="123"/>
      <x:c r="K96" s="123"/>
      <x:c r="L96" s="123"/>
      <x:c r="M96" s="123"/>
      <x:c r="N96" s="134" t="str">
        <x:v>Нет</x:v>
      </x:c>
    </x:row>
    <x:row r="97" ht="18" customHeight="1">
      <x:c r="A97" s="123"/>
      <x:c r="B97" s="123"/>
      <x:c r="C97" s="148"/>
      <x:c r="D97" s="148"/>
      <x:c r="E97" s="132" t="str">
        <x:f>IF(OR(C97="",D97=""),"",ROUND((D97-C97)*1440,0))</x:f>
      </x:c>
      <x:c r="F97" s="123"/>
      <x:c r="G97" s="126"/>
      <x:c r="H97" s="126"/>
      <x:c r="I97" s="126"/>
      <x:c r="J97" s="123"/>
      <x:c r="K97" s="123"/>
      <x:c r="L97" s="123"/>
      <x:c r="M97" s="123"/>
      <x:c r="N97" s="134" t="str">
        <x:v>Нет</x:v>
      </x:c>
    </x:row>
    <x:row r="98" ht="18" customHeight="1">
      <x:c r="A98" s="123"/>
      <x:c r="B98" s="123"/>
      <x:c r="C98" s="148"/>
      <x:c r="D98" s="148"/>
      <x:c r="E98" s="132" t="str">
        <x:f>IF(OR(C98="",D98=""),"",ROUND((D98-C98)*1440,0))</x:f>
      </x:c>
      <x:c r="F98" s="123"/>
      <x:c r="G98" s="126"/>
      <x:c r="H98" s="126"/>
      <x:c r="I98" s="126"/>
      <x:c r="J98" s="123"/>
      <x:c r="K98" s="123"/>
      <x:c r="L98" s="123"/>
      <x:c r="M98" s="123"/>
      <x:c r="N98" s="134" t="str">
        <x:v>Нет</x:v>
      </x:c>
    </x:row>
    <x:row r="99" ht="18" customHeight="1">
      <x:c r="A99" s="123"/>
      <x:c r="B99" s="123"/>
      <x:c r="C99" s="148"/>
      <x:c r="D99" s="148"/>
      <x:c r="E99" s="132" t="str">
        <x:f>IF(OR(C99="",D99=""),"",ROUND((D99-C99)*1440,0))</x:f>
      </x:c>
      <x:c r="F99" s="123"/>
      <x:c r="G99" s="126"/>
      <x:c r="H99" s="126"/>
      <x:c r="I99" s="126"/>
      <x:c r="J99" s="123"/>
      <x:c r="K99" s="123"/>
      <x:c r="L99" s="123"/>
      <x:c r="M99" s="123"/>
      <x:c r="N99" s="134" t="str">
        <x:v>Нет</x:v>
      </x:c>
    </x:row>
    <x:row r="100" ht="18" customHeight="1">
      <x:c r="A100" s="123"/>
      <x:c r="B100" s="123"/>
      <x:c r="C100" s="148"/>
      <x:c r="D100" s="148"/>
      <x:c r="E100" s="132" t="str">
        <x:f>IF(OR(C100="",D100=""),"",ROUND((D100-C100)*1440,0))</x:f>
      </x:c>
      <x:c r="F100" s="123"/>
      <x:c r="G100" s="126"/>
      <x:c r="H100" s="126"/>
      <x:c r="I100" s="126"/>
      <x:c r="J100" s="123"/>
      <x:c r="K100" s="123"/>
      <x:c r="L100" s="123"/>
      <x:c r="M100" s="123"/>
      <x:c r="N100" s="134" t="str">
        <x:v>Нет</x:v>
      </x:c>
    </x:row>
    <x:row r="101" ht="18" customHeight="1">
      <x:c r="A101" s="123"/>
      <x:c r="B101" s="123"/>
      <x:c r="C101" s="148"/>
      <x:c r="D101" s="148"/>
      <x:c r="E101" s="132" t="str">
        <x:f>IF(OR(C101="",D101=""),"",ROUND((D101-C101)*1440,0))</x:f>
      </x:c>
      <x:c r="F101" s="123"/>
      <x:c r="G101" s="126"/>
      <x:c r="H101" s="126"/>
      <x:c r="I101" s="126"/>
      <x:c r="J101" s="123"/>
      <x:c r="K101" s="123"/>
      <x:c r="L101" s="123"/>
      <x:c r="M101" s="123"/>
      <x:c r="N101" s="134" t="str">
        <x:v>Нет</x:v>
      </x:c>
    </x:row>
    <x:row r="102" ht="18" customHeight="1">
      <x:c r="A102" s="123"/>
      <x:c r="B102" s="123"/>
      <x:c r="C102" s="148"/>
      <x:c r="D102" s="148"/>
      <x:c r="E102" s="132" t="str">
        <x:f>IF(OR(C102="",D102=""),"",ROUND((D102-C102)*1440,0))</x:f>
      </x:c>
      <x:c r="F102" s="123"/>
      <x:c r="G102" s="126"/>
      <x:c r="H102" s="126"/>
      <x:c r="I102" s="126"/>
      <x:c r="J102" s="123"/>
      <x:c r="K102" s="123"/>
      <x:c r="L102" s="123"/>
      <x:c r="M102" s="123"/>
      <x:c r="N102" s="134" t="str">
        <x:v>Нет</x:v>
      </x:c>
    </x:row>
    <x:row r="103" ht="18" customHeight="1">
      <x:c r="A103" s="123"/>
      <x:c r="B103" s="123"/>
      <x:c r="C103" s="148"/>
      <x:c r="D103" s="148"/>
      <x:c r="E103" s="132" t="str">
        <x:f>IF(OR(C103="",D103=""),"",ROUND((D103-C103)*1440,0))</x:f>
      </x:c>
      <x:c r="F103" s="123"/>
      <x:c r="G103" s="126"/>
      <x:c r="H103" s="126"/>
      <x:c r="I103" s="126"/>
      <x:c r="J103" s="123"/>
      <x:c r="K103" s="123"/>
      <x:c r="L103" s="123"/>
      <x:c r="M103" s="123"/>
      <x:c r="N103" s="134" t="str">
        <x:v>Нет</x:v>
      </x:c>
    </x:row>
    <x:row r="104" ht="18" customHeight="1">
      <x:c r="A104" s="123"/>
      <x:c r="B104" s="123"/>
      <x:c r="C104" s="148"/>
      <x:c r="D104" s="148"/>
      <x:c r="E104" s="132" t="str">
        <x:f>IF(OR(C104="",D104=""),"",ROUND((D104-C104)*1440,0))</x:f>
      </x:c>
      <x:c r="F104" s="123"/>
      <x:c r="G104" s="126"/>
      <x:c r="H104" s="126"/>
      <x:c r="I104" s="126"/>
      <x:c r="J104" s="123"/>
      <x:c r="K104" s="123"/>
      <x:c r="L104" s="123"/>
      <x:c r="M104" s="123"/>
      <x:c r="N104" s="134" t="str">
        <x:v>Нет</x:v>
      </x:c>
    </x:row>
    <x:row r="105" ht="18" customHeight="1">
      <x:c r="A105" s="123"/>
      <x:c r="B105" s="123"/>
      <x:c r="C105" s="148"/>
      <x:c r="D105" s="148"/>
      <x:c r="E105" s="132" t="str">
        <x:f>IF(OR(C105="",D105=""),"",ROUND((D105-C105)*1440,0))</x:f>
      </x:c>
      <x:c r="F105" s="123"/>
      <x:c r="G105" s="126"/>
      <x:c r="H105" s="126"/>
      <x:c r="I105" s="126"/>
      <x:c r="J105" s="123"/>
      <x:c r="K105" s="123"/>
      <x:c r="L105" s="123"/>
      <x:c r="M105" s="123"/>
      <x:c r="N105" s="134" t="str">
        <x:v>Нет</x:v>
      </x:c>
    </x:row>
    <x:row r="106" ht="18" customHeight="1">
      <x:c r="A106" s="123"/>
      <x:c r="B106" s="123"/>
      <x:c r="C106" s="148"/>
      <x:c r="D106" s="148"/>
      <x:c r="E106" s="132" t="str">
        <x:f>IF(OR(C106="",D106=""),"",ROUND((D106-C106)*1440,0))</x:f>
      </x:c>
      <x:c r="F106" s="123"/>
      <x:c r="G106" s="126"/>
      <x:c r="H106" s="126"/>
      <x:c r="I106" s="126"/>
      <x:c r="J106" s="123"/>
      <x:c r="K106" s="123"/>
      <x:c r="L106" s="123"/>
      <x:c r="M106" s="123"/>
      <x:c r="N106" s="134" t="str">
        <x:v>Нет</x:v>
      </x:c>
    </x:row>
    <x:row r="107" ht="18" customHeight="1">
      <x:c r="A107" s="123"/>
      <x:c r="B107" s="123"/>
      <x:c r="C107" s="148"/>
      <x:c r="D107" s="148"/>
      <x:c r="E107" s="132" t="str">
        <x:f>IF(OR(C107="",D107=""),"",ROUND((D107-C107)*1440,0))</x:f>
      </x:c>
      <x:c r="F107" s="123"/>
      <x:c r="G107" s="126"/>
      <x:c r="H107" s="126"/>
      <x:c r="I107" s="126"/>
      <x:c r="J107" s="123"/>
      <x:c r="K107" s="123"/>
      <x:c r="L107" s="123"/>
      <x:c r="M107" s="123"/>
      <x:c r="N107" s="134" t="str">
        <x:v>Нет</x:v>
      </x:c>
    </x:row>
    <x:row r="108" ht="18" customHeight="1">
      <x:c r="A108" s="123"/>
      <x:c r="B108" s="123"/>
      <x:c r="C108" s="148"/>
      <x:c r="D108" s="148"/>
      <x:c r="E108" s="132" t="str">
        <x:f>IF(OR(C108="",D108=""),"",ROUND((D108-C108)*1440,0))</x:f>
      </x:c>
      <x:c r="F108" s="123"/>
      <x:c r="G108" s="126"/>
      <x:c r="H108" s="126"/>
      <x:c r="I108" s="126"/>
      <x:c r="J108" s="123"/>
      <x:c r="K108" s="123"/>
      <x:c r="L108" s="123"/>
      <x:c r="M108" s="123"/>
      <x:c r="N108" s="134" t="str">
        <x:v>Нет</x:v>
      </x:c>
    </x:row>
    <x:row r="109" ht="18" customHeight="1">
      <x:c r="A109" s="123"/>
      <x:c r="B109" s="123"/>
      <x:c r="C109" s="148"/>
      <x:c r="D109" s="148"/>
      <x:c r="E109" s="132" t="str">
        <x:f>IF(OR(C109="",D109=""),"",ROUND((D109-C109)*1440,0))</x:f>
      </x:c>
      <x:c r="F109" s="123"/>
      <x:c r="G109" s="126"/>
      <x:c r="H109" s="126"/>
      <x:c r="I109" s="126"/>
      <x:c r="J109" s="123"/>
      <x:c r="K109" s="123"/>
      <x:c r="L109" s="123"/>
      <x:c r="M109" s="123"/>
      <x:c r="N109" s="134" t="str">
        <x:v>Нет</x:v>
      </x:c>
    </x:row>
    <x:row r="110" ht="18" customHeight="1">
      <x:c r="A110" s="123"/>
      <x:c r="B110" s="123"/>
      <x:c r="C110" s="148"/>
      <x:c r="D110" s="148"/>
      <x:c r="E110" s="132" t="str">
        <x:f>IF(OR(C110="",D110=""),"",ROUND((D110-C110)*1440,0))</x:f>
      </x:c>
      <x:c r="F110" s="123"/>
      <x:c r="G110" s="126"/>
      <x:c r="H110" s="126"/>
      <x:c r="I110" s="126"/>
      <x:c r="J110" s="123"/>
      <x:c r="K110" s="123"/>
      <x:c r="L110" s="123"/>
      <x:c r="M110" s="123"/>
      <x:c r="N110" s="134" t="str">
        <x:v>Нет</x:v>
      </x:c>
    </x:row>
    <x:row r="111" ht="18" customHeight="1">
      <x:c r="A111" s="123"/>
      <x:c r="B111" s="123"/>
      <x:c r="C111" s="148"/>
      <x:c r="D111" s="148"/>
      <x:c r="E111" s="132" t="str">
        <x:f>IF(OR(C111="",D111=""),"",ROUND((D111-C111)*1440,0))</x:f>
      </x:c>
      <x:c r="F111" s="123"/>
      <x:c r="G111" s="126"/>
      <x:c r="H111" s="126"/>
      <x:c r="I111" s="126"/>
      <x:c r="J111" s="123"/>
      <x:c r="K111" s="123"/>
      <x:c r="L111" s="123"/>
      <x:c r="M111" s="123"/>
      <x:c r="N111" s="134" t="str">
        <x:v>Нет</x:v>
      </x:c>
    </x:row>
    <x:row r="112" ht="18" customHeight="1">
      <x:c r="A112" s="123"/>
      <x:c r="B112" s="123"/>
      <x:c r="C112" s="148"/>
      <x:c r="D112" s="148"/>
      <x:c r="E112" s="132" t="str">
        <x:f>IF(OR(C112="",D112=""),"",ROUND((D112-C112)*1440,0))</x:f>
      </x:c>
      <x:c r="F112" s="123"/>
      <x:c r="G112" s="126"/>
      <x:c r="H112" s="126"/>
      <x:c r="I112" s="126"/>
      <x:c r="J112" s="123"/>
      <x:c r="K112" s="123"/>
      <x:c r="L112" s="123"/>
      <x:c r="M112" s="123"/>
      <x:c r="N112" s="134" t="str">
        <x:v>Нет</x:v>
      </x:c>
    </x:row>
    <x:row r="113" ht="18" customHeight="1">
      <x:c r="A113" s="123"/>
      <x:c r="B113" s="123"/>
      <x:c r="C113" s="148"/>
      <x:c r="D113" s="148"/>
      <x:c r="E113" s="132" t="str">
        <x:f>IF(OR(C113="",D113=""),"",ROUND((D113-C113)*1440,0))</x:f>
      </x:c>
      <x:c r="F113" s="123"/>
      <x:c r="G113" s="126"/>
      <x:c r="H113" s="126"/>
      <x:c r="I113" s="126"/>
      <x:c r="J113" s="123"/>
      <x:c r="K113" s="123"/>
      <x:c r="L113" s="123"/>
      <x:c r="M113" s="123"/>
      <x:c r="N113" s="134" t="str">
        <x:v>Нет</x:v>
      </x:c>
    </x:row>
    <x:row r="114" ht="18" customHeight="1">
      <x:c r="A114" s="123"/>
      <x:c r="B114" s="123"/>
      <x:c r="C114" s="148"/>
      <x:c r="D114" s="148"/>
      <x:c r="E114" s="132" t="str">
        <x:f>IF(OR(C114="",D114=""),"",ROUND((D114-C114)*1440,0))</x:f>
      </x:c>
      <x:c r="F114" s="123"/>
      <x:c r="G114" s="126"/>
      <x:c r="H114" s="126"/>
      <x:c r="I114" s="126"/>
      <x:c r="J114" s="123"/>
      <x:c r="K114" s="123"/>
      <x:c r="L114" s="123"/>
      <x:c r="M114" s="123"/>
      <x:c r="N114" s="134" t="str">
        <x:v>Нет</x:v>
      </x:c>
    </x:row>
    <x:row r="115" ht="18" customHeight="1">
      <x:c r="A115" s="123"/>
      <x:c r="B115" s="123"/>
      <x:c r="C115" s="148"/>
      <x:c r="D115" s="148"/>
      <x:c r="E115" s="132" t="str">
        <x:f>IF(OR(C115="",D115=""),"",ROUND((D115-C115)*1440,0))</x:f>
      </x:c>
      <x:c r="F115" s="123"/>
      <x:c r="G115" s="126"/>
      <x:c r="H115" s="126"/>
      <x:c r="I115" s="126"/>
      <x:c r="J115" s="123"/>
      <x:c r="K115" s="123"/>
      <x:c r="L115" s="123"/>
      <x:c r="M115" s="123"/>
      <x:c r="N115" s="134" t="str">
        <x:v>Нет</x:v>
      </x:c>
    </x:row>
    <x:row r="116" ht="18" customHeight="1">
      <x:c r="A116" s="123"/>
      <x:c r="B116" s="123"/>
      <x:c r="C116" s="148"/>
      <x:c r="D116" s="148"/>
      <x:c r="E116" s="132" t="str">
        <x:f>IF(OR(C116="",D116=""),"",ROUND((D116-C116)*1440,0))</x:f>
      </x:c>
      <x:c r="F116" s="123"/>
      <x:c r="G116" s="126"/>
      <x:c r="H116" s="126"/>
      <x:c r="I116" s="126"/>
      <x:c r="J116" s="123"/>
      <x:c r="K116" s="123"/>
      <x:c r="L116" s="123"/>
      <x:c r="M116" s="123"/>
      <x:c r="N116" s="134" t="str">
        <x:v>Нет</x:v>
      </x:c>
    </x:row>
    <x:row r="117" ht="18" customHeight="1">
      <x:c r="A117" s="123"/>
      <x:c r="B117" s="123"/>
      <x:c r="C117" s="148"/>
      <x:c r="D117" s="148"/>
      <x:c r="E117" s="132" t="str">
        <x:f>IF(OR(C117="",D117=""),"",ROUND((D117-C117)*1440,0))</x:f>
      </x:c>
      <x:c r="F117" s="123"/>
      <x:c r="G117" s="126"/>
      <x:c r="H117" s="126"/>
      <x:c r="I117" s="126"/>
      <x:c r="J117" s="123"/>
      <x:c r="K117" s="123"/>
      <x:c r="L117" s="123"/>
      <x:c r="M117" s="123"/>
      <x:c r="N117" s="134" t="str">
        <x:v>Нет</x:v>
      </x:c>
    </x:row>
    <x:row r="118" ht="18" customHeight="1">
      <x:c r="A118" s="123"/>
      <x:c r="B118" s="123"/>
      <x:c r="C118" s="148"/>
      <x:c r="D118" s="148"/>
      <x:c r="E118" s="132" t="str">
        <x:f>IF(OR(C118="",D118=""),"",ROUND((D118-C118)*1440,0))</x:f>
      </x:c>
      <x:c r="F118" s="123"/>
      <x:c r="G118" s="126"/>
      <x:c r="H118" s="126"/>
      <x:c r="I118" s="126"/>
      <x:c r="J118" s="123"/>
      <x:c r="K118" s="123"/>
      <x:c r="L118" s="123"/>
      <x:c r="M118" s="123"/>
      <x:c r="N118" s="134" t="str">
        <x:v>Нет</x:v>
      </x:c>
    </x:row>
    <x:row r="119" ht="18" customHeight="1">
      <x:c r="A119" s="123"/>
      <x:c r="B119" s="123"/>
      <x:c r="C119" s="148"/>
      <x:c r="D119" s="148"/>
      <x:c r="E119" s="132" t="str">
        <x:f>IF(OR(C119="",D119=""),"",ROUND((D119-C119)*1440,0))</x:f>
      </x:c>
      <x:c r="F119" s="123"/>
      <x:c r="G119" s="126"/>
      <x:c r="H119" s="126"/>
      <x:c r="I119" s="126"/>
      <x:c r="J119" s="123"/>
      <x:c r="K119" s="123"/>
      <x:c r="L119" s="123"/>
      <x:c r="M119" s="123"/>
      <x:c r="N119" s="134" t="str">
        <x:v>Нет</x:v>
      </x:c>
    </x:row>
    <x:row r="120" ht="18" customHeight="1">
      <x:c r="A120" s="123"/>
      <x:c r="B120" s="123"/>
      <x:c r="C120" s="148"/>
      <x:c r="D120" s="148"/>
      <x:c r="E120" s="132" t="str">
        <x:f>IF(OR(C120="",D120=""),"",ROUND((D120-C120)*1440,0))</x:f>
      </x:c>
      <x:c r="F120" s="123"/>
      <x:c r="G120" s="126"/>
      <x:c r="H120" s="126"/>
      <x:c r="I120" s="126"/>
      <x:c r="J120" s="123"/>
      <x:c r="K120" s="123"/>
      <x:c r="L120" s="123"/>
      <x:c r="M120" s="123"/>
      <x:c r="N120" s="134" t="str">
        <x:v>Нет</x:v>
      </x:c>
    </x:row>
    <x:row r="121" ht="18" customHeight="1">
      <x:c r="A121" s="123"/>
      <x:c r="B121" s="123"/>
      <x:c r="C121" s="148"/>
      <x:c r="D121" s="148"/>
      <x:c r="E121" s="132" t="str">
        <x:f>IF(OR(C121="",D121=""),"",ROUND((D121-C121)*1440,0))</x:f>
      </x:c>
      <x:c r="F121" s="123"/>
      <x:c r="G121" s="126"/>
      <x:c r="H121" s="126"/>
      <x:c r="I121" s="126"/>
      <x:c r="J121" s="123"/>
      <x:c r="K121" s="123"/>
      <x:c r="L121" s="123"/>
      <x:c r="M121" s="123"/>
      <x:c r="N121" s="134" t="str">
        <x:v>Нет</x:v>
      </x:c>
    </x:row>
    <x:row r="122" ht="18" customHeight="1">
      <x:c r="A122" s="123"/>
      <x:c r="B122" s="123"/>
      <x:c r="C122" s="148"/>
      <x:c r="D122" s="148"/>
      <x:c r="E122" s="132" t="str">
        <x:f>IF(OR(C122="",D122=""),"",ROUND((D122-C122)*1440,0))</x:f>
      </x:c>
      <x:c r="F122" s="123"/>
      <x:c r="G122" s="126"/>
      <x:c r="H122" s="126"/>
      <x:c r="I122" s="126"/>
      <x:c r="J122" s="123"/>
      <x:c r="K122" s="123"/>
      <x:c r="L122" s="123"/>
      <x:c r="M122" s="123"/>
      <x:c r="N122" s="134" t="str">
        <x:v>Нет</x:v>
      </x:c>
    </x:row>
    <x:row r="123" ht="18" customHeight="1">
      <x:c r="A123" s="123"/>
      <x:c r="B123" s="123"/>
      <x:c r="C123" s="148"/>
      <x:c r="D123" s="148"/>
      <x:c r="E123" s="132" t="str">
        <x:f>IF(OR(C123="",D123=""),"",ROUND((D123-C123)*1440,0))</x:f>
      </x:c>
      <x:c r="F123" s="123"/>
      <x:c r="G123" s="126"/>
      <x:c r="H123" s="126"/>
      <x:c r="I123" s="126"/>
      <x:c r="J123" s="123"/>
      <x:c r="K123" s="123"/>
      <x:c r="L123" s="123"/>
      <x:c r="M123" s="123"/>
      <x:c r="N123" s="134" t="str">
        <x:v>Нет</x:v>
      </x:c>
    </x:row>
    <x:row r="124" ht="18" customHeight="1">
      <x:c r="A124" s="123"/>
      <x:c r="B124" s="123"/>
      <x:c r="C124" s="148"/>
      <x:c r="D124" s="148"/>
      <x:c r="E124" s="132" t="str">
        <x:f>IF(OR(C124="",D124=""),"",ROUND((D124-C124)*1440,0))</x:f>
      </x:c>
      <x:c r="F124" s="123"/>
      <x:c r="G124" s="126"/>
      <x:c r="H124" s="126"/>
      <x:c r="I124" s="126"/>
      <x:c r="J124" s="123"/>
      <x:c r="K124" s="123"/>
      <x:c r="L124" s="123"/>
      <x:c r="M124" s="123"/>
      <x:c r="N124" s="134" t="str">
        <x:v>Нет</x:v>
      </x:c>
    </x:row>
    <x:row r="125" ht="18" customHeight="1">
      <x:c r="A125" s="123"/>
      <x:c r="B125" s="123"/>
      <x:c r="C125" s="148"/>
      <x:c r="D125" s="148"/>
      <x:c r="E125" s="132" t="str">
        <x:f>IF(OR(C125="",D125=""),"",ROUND((D125-C125)*1440,0))</x:f>
      </x:c>
      <x:c r="F125" s="123"/>
      <x:c r="G125" s="126"/>
      <x:c r="H125" s="126"/>
      <x:c r="I125" s="126"/>
      <x:c r="J125" s="123"/>
      <x:c r="K125" s="123"/>
      <x:c r="L125" s="123"/>
      <x:c r="M125" s="123"/>
      <x:c r="N125" s="134" t="str">
        <x:v>Нет</x:v>
      </x:c>
    </x:row>
    <x:row r="126" ht="18" customHeight="1">
      <x:c r="A126" s="123"/>
      <x:c r="B126" s="123"/>
      <x:c r="C126" s="148"/>
      <x:c r="D126" s="148"/>
      <x:c r="E126" s="132" t="str">
        <x:f>IF(OR(C126="",D126=""),"",ROUND((D126-C126)*1440,0))</x:f>
      </x:c>
      <x:c r="F126" s="123"/>
      <x:c r="G126" s="126"/>
      <x:c r="H126" s="126"/>
      <x:c r="I126" s="126"/>
      <x:c r="J126" s="123"/>
      <x:c r="K126" s="123"/>
      <x:c r="L126" s="123"/>
      <x:c r="M126" s="123"/>
      <x:c r="N126" s="134" t="str">
        <x:v>Нет</x:v>
      </x:c>
    </x:row>
    <x:row r="127" ht="18" customHeight="1">
      <x:c r="A127" s="123"/>
      <x:c r="B127" s="123"/>
      <x:c r="C127" s="148"/>
      <x:c r="D127" s="148"/>
      <x:c r="E127" s="132" t="str">
        <x:f>IF(OR(C127="",D127=""),"",ROUND((D127-C127)*1440,0))</x:f>
      </x:c>
      <x:c r="F127" s="123"/>
      <x:c r="G127" s="126"/>
      <x:c r="H127" s="126"/>
      <x:c r="I127" s="126"/>
      <x:c r="J127" s="123"/>
      <x:c r="K127" s="123"/>
      <x:c r="L127" s="123"/>
      <x:c r="M127" s="123"/>
      <x:c r="N127" s="134" t="str">
        <x:v>Нет</x:v>
      </x:c>
    </x:row>
    <x:row r="128" ht="18" customHeight="1">
      <x:c r="A128" s="123"/>
      <x:c r="B128" s="123"/>
      <x:c r="C128" s="148"/>
      <x:c r="D128" s="148"/>
      <x:c r="E128" s="132" t="str">
        <x:f>IF(OR(C128="",D128=""),"",ROUND((D128-C128)*1440,0))</x:f>
      </x:c>
      <x:c r="F128" s="123"/>
      <x:c r="G128" s="126"/>
      <x:c r="H128" s="126"/>
      <x:c r="I128" s="126"/>
      <x:c r="J128" s="123"/>
      <x:c r="K128" s="123"/>
      <x:c r="L128" s="123"/>
      <x:c r="M128" s="123"/>
      <x:c r="N128" s="134" t="str">
        <x:v>Нет</x:v>
      </x:c>
    </x:row>
    <x:row r="129" ht="18" customHeight="1">
      <x:c r="A129" s="123"/>
      <x:c r="B129" s="123"/>
      <x:c r="C129" s="148"/>
      <x:c r="D129" s="148"/>
      <x:c r="E129" s="132" t="str">
        <x:f>IF(OR(C129="",D129=""),"",ROUND((D129-C129)*1440,0))</x:f>
      </x:c>
      <x:c r="F129" s="123"/>
      <x:c r="G129" s="126"/>
      <x:c r="H129" s="126"/>
      <x:c r="I129" s="126"/>
      <x:c r="J129" s="123"/>
      <x:c r="K129" s="123"/>
      <x:c r="L129" s="123"/>
      <x:c r="M129" s="123"/>
      <x:c r="N129" s="134" t="str">
        <x:v>Нет</x:v>
      </x:c>
    </x:row>
    <x:row r="130" ht="18" customHeight="1">
      <x:c r="A130" s="123"/>
      <x:c r="B130" s="123"/>
      <x:c r="C130" s="148"/>
      <x:c r="D130" s="148"/>
      <x:c r="E130" s="132" t="str">
        <x:f>IF(OR(C130="",D130=""),"",ROUND((D130-C130)*1440,0))</x:f>
      </x:c>
      <x:c r="F130" s="123"/>
      <x:c r="G130" s="126"/>
      <x:c r="H130" s="126"/>
      <x:c r="I130" s="126"/>
      <x:c r="J130" s="123"/>
      <x:c r="K130" s="123"/>
      <x:c r="L130" s="123"/>
      <x:c r="M130" s="123"/>
      <x:c r="N130" s="134" t="str">
        <x:v>Нет</x:v>
      </x:c>
    </x:row>
    <x:row r="131" ht="18" customHeight="1">
      <x:c r="A131" s="123"/>
      <x:c r="B131" s="123"/>
      <x:c r="C131" s="148"/>
      <x:c r="D131" s="148"/>
      <x:c r="E131" s="132" t="str">
        <x:f>IF(OR(C131="",D131=""),"",ROUND((D131-C131)*1440,0))</x:f>
      </x:c>
      <x:c r="F131" s="123"/>
      <x:c r="G131" s="126"/>
      <x:c r="H131" s="126"/>
      <x:c r="I131" s="126"/>
      <x:c r="J131" s="123"/>
      <x:c r="K131" s="123"/>
      <x:c r="L131" s="123"/>
      <x:c r="M131" s="123"/>
      <x:c r="N131" s="134" t="str">
        <x:v>Нет</x:v>
      </x:c>
    </x:row>
    <x:row r="132" ht="18" customHeight="1">
      <x:c r="A132" s="123"/>
      <x:c r="B132" s="123"/>
      <x:c r="C132" s="148"/>
      <x:c r="D132" s="148"/>
      <x:c r="E132" s="132" t="str">
        <x:f>IF(OR(C132="",D132=""),"",ROUND((D132-C132)*1440,0))</x:f>
      </x:c>
      <x:c r="F132" s="123"/>
      <x:c r="G132" s="126"/>
      <x:c r="H132" s="126"/>
      <x:c r="I132" s="126"/>
      <x:c r="J132" s="123"/>
      <x:c r="K132" s="123"/>
      <x:c r="L132" s="123"/>
      <x:c r="M132" s="123"/>
      <x:c r="N132" s="134" t="str">
        <x:v>Нет</x:v>
      </x:c>
    </x:row>
    <x:row r="133" ht="18" customHeight="1">
      <x:c r="A133" s="123"/>
      <x:c r="B133" s="123"/>
      <x:c r="C133" s="148"/>
      <x:c r="D133" s="148"/>
      <x:c r="E133" s="132" t="str">
        <x:f>IF(OR(C133="",D133=""),"",ROUND((D133-C133)*1440,0))</x:f>
      </x:c>
      <x:c r="F133" s="123"/>
      <x:c r="G133" s="126"/>
      <x:c r="H133" s="126"/>
      <x:c r="I133" s="126"/>
      <x:c r="J133" s="123"/>
      <x:c r="K133" s="123"/>
      <x:c r="L133" s="123"/>
      <x:c r="M133" s="123"/>
      <x:c r="N133" s="134" t="str">
        <x:v>Нет</x:v>
      </x:c>
    </x:row>
    <x:row r="134" ht="18" customHeight="1">
      <x:c r="A134" s="123"/>
      <x:c r="B134" s="123"/>
      <x:c r="C134" s="148"/>
      <x:c r="D134" s="148"/>
      <x:c r="E134" s="132" t="str">
        <x:f>IF(OR(C134="",D134=""),"",ROUND((D134-C134)*1440,0))</x:f>
      </x:c>
      <x:c r="F134" s="123"/>
      <x:c r="G134" s="126"/>
      <x:c r="H134" s="126"/>
      <x:c r="I134" s="126"/>
      <x:c r="J134" s="123"/>
      <x:c r="K134" s="123"/>
      <x:c r="L134" s="123"/>
      <x:c r="M134" s="123"/>
      <x:c r="N134" s="134" t="str">
        <x:v>Нет</x:v>
      </x:c>
    </x:row>
    <x:row r="135" ht="18" customHeight="1">
      <x:c r="A135" s="123"/>
      <x:c r="B135" s="123"/>
      <x:c r="C135" s="148"/>
      <x:c r="D135" s="148"/>
      <x:c r="E135" s="132" t="str">
        <x:f>IF(OR(C135="",D135=""),"",ROUND((D135-C135)*1440,0))</x:f>
      </x:c>
      <x:c r="F135" s="123"/>
      <x:c r="G135" s="126"/>
      <x:c r="H135" s="126"/>
      <x:c r="I135" s="126"/>
      <x:c r="J135" s="123"/>
      <x:c r="K135" s="123"/>
      <x:c r="L135" s="123"/>
      <x:c r="M135" s="123"/>
      <x:c r="N135" s="134" t="str">
        <x:v>Нет</x:v>
      </x:c>
    </x:row>
    <x:row r="136" ht="18" customHeight="1">
      <x:c r="A136" s="123"/>
      <x:c r="B136" s="123"/>
      <x:c r="C136" s="148"/>
      <x:c r="D136" s="148"/>
      <x:c r="E136" s="132" t="str">
        <x:f>IF(OR(C136="",D136=""),"",ROUND((D136-C136)*1440,0))</x:f>
      </x:c>
      <x:c r="F136" s="123"/>
      <x:c r="G136" s="126"/>
      <x:c r="H136" s="126"/>
      <x:c r="I136" s="126"/>
      <x:c r="J136" s="123"/>
      <x:c r="K136" s="123"/>
      <x:c r="L136" s="123"/>
      <x:c r="M136" s="123"/>
      <x:c r="N136" s="134" t="str">
        <x:v>Нет</x:v>
      </x:c>
    </x:row>
    <x:row r="137" ht="18" customHeight="1">
      <x:c r="A137" s="123"/>
      <x:c r="B137" s="123"/>
      <x:c r="C137" s="148"/>
      <x:c r="D137" s="148"/>
      <x:c r="E137" s="132" t="str">
        <x:f>IF(OR(C137="",D137=""),"",ROUND((D137-C137)*1440,0))</x:f>
      </x:c>
      <x:c r="F137" s="123"/>
      <x:c r="G137" s="126"/>
      <x:c r="H137" s="126"/>
      <x:c r="I137" s="126"/>
      <x:c r="J137" s="123"/>
      <x:c r="K137" s="123"/>
      <x:c r="L137" s="123"/>
      <x:c r="M137" s="123"/>
      <x:c r="N137" s="134" t="str">
        <x:v>Нет</x:v>
      </x:c>
    </x:row>
    <x:row r="138" ht="18" customHeight="1">
      <x:c r="A138" s="123"/>
      <x:c r="B138" s="123"/>
      <x:c r="C138" s="148"/>
      <x:c r="D138" s="148"/>
      <x:c r="E138" s="132" t="str">
        <x:f>IF(OR(C138="",D138=""),"",ROUND((D138-C138)*1440,0))</x:f>
      </x:c>
      <x:c r="F138" s="123"/>
      <x:c r="G138" s="126"/>
      <x:c r="H138" s="126"/>
      <x:c r="I138" s="126"/>
      <x:c r="J138" s="123"/>
      <x:c r="K138" s="123"/>
      <x:c r="L138" s="123"/>
      <x:c r="M138" s="123"/>
      <x:c r="N138" s="134" t="str">
        <x:v>Нет</x:v>
      </x:c>
    </x:row>
    <x:row r="139" ht="18" customHeight="1">
      <x:c r="A139" s="123"/>
      <x:c r="B139" s="123"/>
      <x:c r="C139" s="148"/>
      <x:c r="D139" s="148"/>
      <x:c r="E139" s="132" t="str">
        <x:f>IF(OR(C139="",D139=""),"",ROUND((D139-C139)*1440,0))</x:f>
      </x:c>
      <x:c r="F139" s="123"/>
      <x:c r="G139" s="126"/>
      <x:c r="H139" s="126"/>
      <x:c r="I139" s="126"/>
      <x:c r="J139" s="123"/>
      <x:c r="K139" s="123"/>
      <x:c r="L139" s="123"/>
      <x:c r="M139" s="123"/>
      <x:c r="N139" s="134" t="str">
        <x:v>Нет</x:v>
      </x:c>
    </x:row>
    <x:row r="140" ht="18" customHeight="1">
      <x:c r="A140" s="123"/>
      <x:c r="B140" s="123"/>
      <x:c r="C140" s="148"/>
      <x:c r="D140" s="148"/>
      <x:c r="E140" s="132" t="str">
        <x:f>IF(OR(C140="",D140=""),"",ROUND((D140-C140)*1440,0))</x:f>
      </x:c>
      <x:c r="F140" s="123"/>
      <x:c r="G140" s="126"/>
      <x:c r="H140" s="126"/>
      <x:c r="I140" s="126"/>
      <x:c r="J140" s="123"/>
      <x:c r="K140" s="123"/>
      <x:c r="L140" s="123"/>
      <x:c r="M140" s="123"/>
      <x:c r="N140" s="134" t="str">
        <x:v>Нет</x:v>
      </x:c>
    </x:row>
    <x:row r="141" ht="18" customHeight="1">
      <x:c r="A141" s="123"/>
      <x:c r="B141" s="123"/>
      <x:c r="C141" s="148"/>
      <x:c r="D141" s="148"/>
      <x:c r="E141" s="132" t="str">
        <x:f>IF(OR(C141="",D141=""),"",ROUND((D141-C141)*1440,0))</x:f>
      </x:c>
      <x:c r="F141" s="123"/>
      <x:c r="G141" s="126"/>
      <x:c r="H141" s="126"/>
      <x:c r="I141" s="126"/>
      <x:c r="J141" s="123"/>
      <x:c r="K141" s="123"/>
      <x:c r="L141" s="123"/>
      <x:c r="M141" s="123"/>
      <x:c r="N141" s="134" t="str">
        <x:v>Нет</x:v>
      </x:c>
    </x:row>
    <x:row r="142" ht="18" customHeight="1">
      <x:c r="A142" s="123"/>
      <x:c r="B142" s="123"/>
      <x:c r="C142" s="148"/>
      <x:c r="D142" s="148"/>
      <x:c r="E142" s="132" t="str">
        <x:f>IF(OR(C142="",D142=""),"",ROUND((D142-C142)*1440,0))</x:f>
      </x:c>
      <x:c r="F142" s="123"/>
      <x:c r="G142" s="126"/>
      <x:c r="H142" s="126"/>
      <x:c r="I142" s="126"/>
      <x:c r="J142" s="123"/>
      <x:c r="K142" s="123"/>
      <x:c r="L142" s="123"/>
      <x:c r="M142" s="123"/>
      <x:c r="N142" s="134" t="str">
        <x:v>Нет</x:v>
      </x:c>
    </x:row>
    <x:row r="143" ht="18" customHeight="1">
      <x:c r="A143" s="123"/>
      <x:c r="B143" s="123"/>
      <x:c r="C143" s="148"/>
      <x:c r="D143" s="148"/>
      <x:c r="E143" s="132" t="str">
        <x:f>IF(OR(C143="",D143=""),"",ROUND((D143-C143)*1440,0))</x:f>
      </x:c>
      <x:c r="F143" s="123"/>
      <x:c r="G143" s="126"/>
      <x:c r="H143" s="126"/>
      <x:c r="I143" s="126"/>
      <x:c r="J143" s="123"/>
      <x:c r="K143" s="123"/>
      <x:c r="L143" s="123"/>
      <x:c r="M143" s="123"/>
      <x:c r="N143" s="134" t="str">
        <x:v>Нет</x:v>
      </x:c>
    </x:row>
    <x:row r="144" ht="18" customHeight="1">
      <x:c r="A144" s="123"/>
      <x:c r="B144" s="123"/>
      <x:c r="C144" s="148"/>
      <x:c r="D144" s="148"/>
      <x:c r="E144" s="132" t="str">
        <x:f>IF(OR(C144="",D144=""),"",ROUND((D144-C144)*1440,0))</x:f>
      </x:c>
      <x:c r="F144" s="123"/>
      <x:c r="G144" s="126"/>
      <x:c r="H144" s="126"/>
      <x:c r="I144" s="126"/>
      <x:c r="J144" s="123"/>
      <x:c r="K144" s="123"/>
      <x:c r="L144" s="123"/>
      <x:c r="M144" s="123"/>
      <x:c r="N144" s="134" t="str">
        <x:v>Нет</x:v>
      </x:c>
    </x:row>
    <x:row r="145" ht="18" customHeight="1">
      <x:c r="A145" s="123"/>
      <x:c r="B145" s="123"/>
      <x:c r="C145" s="148"/>
      <x:c r="D145" s="148"/>
      <x:c r="E145" s="132" t="str">
        <x:f>IF(OR(C145="",D145=""),"",ROUND((D145-C145)*1440,0))</x:f>
      </x:c>
      <x:c r="F145" s="123"/>
      <x:c r="G145" s="126"/>
      <x:c r="H145" s="126"/>
      <x:c r="I145" s="126"/>
      <x:c r="J145" s="123"/>
      <x:c r="K145" s="123"/>
      <x:c r="L145" s="123"/>
      <x:c r="M145" s="123"/>
      <x:c r="N145" s="134" t="str">
        <x:v>Нет</x:v>
      </x:c>
    </x:row>
    <x:row r="146" ht="18" customHeight="1">
      <x:c r="A146" s="123"/>
      <x:c r="B146" s="123"/>
      <x:c r="C146" s="148"/>
      <x:c r="D146" s="148"/>
      <x:c r="E146" s="132" t="str">
        <x:f>IF(OR(C146="",D146=""),"",ROUND((D146-C146)*1440,0))</x:f>
      </x:c>
      <x:c r="F146" s="123"/>
      <x:c r="G146" s="126"/>
      <x:c r="H146" s="126"/>
      <x:c r="I146" s="126"/>
      <x:c r="J146" s="123"/>
      <x:c r="K146" s="123"/>
      <x:c r="L146" s="123"/>
      <x:c r="M146" s="123"/>
      <x:c r="N146" s="134" t="str">
        <x:v>Нет</x:v>
      </x:c>
    </x:row>
    <x:row r="147" ht="18" customHeight="1">
      <x:c r="A147" s="123"/>
      <x:c r="B147" s="123"/>
      <x:c r="C147" s="148"/>
      <x:c r="D147" s="148"/>
      <x:c r="E147" s="132" t="str">
        <x:f>IF(OR(C147="",D147=""),"",ROUND((D147-C147)*1440,0))</x:f>
      </x:c>
      <x:c r="F147" s="123"/>
      <x:c r="G147" s="126"/>
      <x:c r="H147" s="126"/>
      <x:c r="I147" s="126"/>
      <x:c r="J147" s="123"/>
      <x:c r="K147" s="123"/>
      <x:c r="L147" s="123"/>
      <x:c r="M147" s="123"/>
      <x:c r="N147" s="134" t="str">
        <x:v>Нет</x:v>
      </x:c>
    </x:row>
    <x:row r="148" ht="18" customHeight="1">
      <x:c r="A148" s="123"/>
      <x:c r="B148" s="123"/>
      <x:c r="C148" s="148"/>
      <x:c r="D148" s="148"/>
      <x:c r="E148" s="132" t="str">
        <x:f>IF(OR(C148="",D148=""),"",ROUND((D148-C148)*1440,0))</x:f>
      </x:c>
      <x:c r="F148" s="123"/>
      <x:c r="G148" s="126"/>
      <x:c r="H148" s="126"/>
      <x:c r="I148" s="126"/>
      <x:c r="J148" s="123"/>
      <x:c r="K148" s="123"/>
      <x:c r="L148" s="123"/>
      <x:c r="M148" s="123"/>
      <x:c r="N148" s="134" t="str">
        <x:v>Нет</x:v>
      </x:c>
    </x:row>
    <x:row r="149" ht="18" customHeight="1">
      <x:c r="A149" s="123"/>
      <x:c r="B149" s="123"/>
      <x:c r="C149" s="148"/>
      <x:c r="D149" s="148"/>
      <x:c r="E149" s="132" t="str">
        <x:f>IF(OR(C149="",D149=""),"",ROUND((D149-C149)*1440,0))</x:f>
      </x:c>
      <x:c r="F149" s="123"/>
      <x:c r="G149" s="126"/>
      <x:c r="H149" s="126"/>
      <x:c r="I149" s="126"/>
      <x:c r="J149" s="123"/>
      <x:c r="K149" s="123"/>
      <x:c r="L149" s="123"/>
      <x:c r="M149" s="123"/>
      <x:c r="N149" s="134" t="str">
        <x:v>Нет</x:v>
      </x:c>
    </x:row>
    <x:row r="150" ht="18" customHeight="1">
      <x:c r="A150" s="123"/>
      <x:c r="B150" s="123"/>
      <x:c r="C150" s="148"/>
      <x:c r="D150" s="148"/>
      <x:c r="E150" s="132" t="str">
        <x:f>IF(OR(C150="",D150=""),"",ROUND((D150-C150)*1440,0))</x:f>
      </x:c>
      <x:c r="F150" s="123"/>
      <x:c r="G150" s="126"/>
      <x:c r="H150" s="126"/>
      <x:c r="I150" s="126"/>
      <x:c r="J150" s="123"/>
      <x:c r="K150" s="123"/>
      <x:c r="L150" s="123"/>
      <x:c r="M150" s="123"/>
      <x:c r="N150" s="134" t="str">
        <x:v>Нет</x:v>
      </x:c>
    </x:row>
    <x:row r="151" ht="18" customHeight="1">
      <x:c r="A151" s="123"/>
      <x:c r="B151" s="123"/>
      <x:c r="C151" s="148"/>
      <x:c r="D151" s="148"/>
      <x:c r="E151" s="132" t="str">
        <x:f>IF(OR(C151="",D151=""),"",ROUND((D151-C151)*1440,0))</x:f>
      </x:c>
      <x:c r="F151" s="123"/>
      <x:c r="G151" s="126"/>
      <x:c r="H151" s="126"/>
      <x:c r="I151" s="126"/>
      <x:c r="J151" s="123"/>
      <x:c r="K151" s="123"/>
      <x:c r="L151" s="123"/>
      <x:c r="M151" s="123"/>
      <x:c r="N151" s="134" t="str">
        <x:v>Нет</x:v>
      </x:c>
    </x:row>
    <x:row r="152" ht="18" customHeight="1">
      <x:c r="A152" s="123"/>
      <x:c r="B152" s="123"/>
      <x:c r="C152" s="148"/>
      <x:c r="D152" s="148"/>
      <x:c r="E152" s="132" t="str">
        <x:f>IF(OR(C152="",D152=""),"",ROUND((D152-C152)*1440,0))</x:f>
      </x:c>
      <x:c r="F152" s="123"/>
      <x:c r="G152" s="126"/>
      <x:c r="H152" s="126"/>
      <x:c r="I152" s="126"/>
      <x:c r="J152" s="123"/>
      <x:c r="K152" s="123"/>
      <x:c r="L152" s="123"/>
      <x:c r="M152" s="123"/>
      <x:c r="N152" s="134" t="str">
        <x:v>Нет</x:v>
      </x:c>
    </x:row>
    <x:row r="153" ht="18" customHeight="1">
      <x:c r="A153" s="123"/>
      <x:c r="B153" s="123"/>
      <x:c r="C153" s="148"/>
      <x:c r="D153" s="148"/>
      <x:c r="E153" s="132" t="str">
        <x:f>IF(OR(C153="",D153=""),"",ROUND((D153-C153)*1440,0))</x:f>
      </x:c>
      <x:c r="F153" s="123"/>
      <x:c r="G153" s="126"/>
      <x:c r="H153" s="126"/>
      <x:c r="I153" s="126"/>
      <x:c r="J153" s="123"/>
      <x:c r="K153" s="123"/>
      <x:c r="L153" s="123"/>
      <x:c r="M153" s="123"/>
      <x:c r="N153" s="134" t="str">
        <x:v>Нет</x:v>
      </x:c>
    </x:row>
    <x:row r="154" ht="18" customHeight="1">
      <x:c r="A154" s="123"/>
      <x:c r="B154" s="123"/>
      <x:c r="C154" s="148"/>
      <x:c r="D154" s="148"/>
      <x:c r="E154" s="132" t="str">
        <x:f>IF(OR(C154="",D154=""),"",ROUND((D154-C154)*1440,0))</x:f>
      </x:c>
      <x:c r="F154" s="123"/>
      <x:c r="G154" s="126"/>
      <x:c r="H154" s="126"/>
      <x:c r="I154" s="126"/>
      <x:c r="J154" s="123"/>
      <x:c r="K154" s="123"/>
      <x:c r="L154" s="123"/>
      <x:c r="M154" s="123"/>
      <x:c r="N154" s="134" t="str">
        <x:v>Нет</x:v>
      </x:c>
    </x:row>
    <x:row r="155" ht="18" customHeight="1">
      <x:c r="A155" s="123"/>
      <x:c r="B155" s="123"/>
      <x:c r="C155" s="148"/>
      <x:c r="D155" s="148"/>
      <x:c r="E155" s="132" t="str">
        <x:f>IF(OR(C155="",D155=""),"",ROUND((D155-C155)*1440,0))</x:f>
      </x:c>
      <x:c r="F155" s="123"/>
      <x:c r="G155" s="126"/>
      <x:c r="H155" s="126"/>
      <x:c r="I155" s="126"/>
      <x:c r="J155" s="123"/>
      <x:c r="K155" s="123"/>
      <x:c r="L155" s="123"/>
      <x:c r="M155" s="123"/>
      <x:c r="N155" s="134" t="str">
        <x:v>Нет</x:v>
      </x:c>
    </x:row>
    <x:row r="156" ht="18" customHeight="1">
      <x:c r="A156" s="123"/>
      <x:c r="B156" s="123"/>
      <x:c r="C156" s="148"/>
      <x:c r="D156" s="148"/>
      <x:c r="E156" s="132" t="str">
        <x:f>IF(OR(C156="",D156=""),"",ROUND((D156-C156)*1440,0))</x:f>
      </x:c>
      <x:c r="F156" s="123"/>
      <x:c r="G156" s="126"/>
      <x:c r="H156" s="126"/>
      <x:c r="I156" s="126"/>
      <x:c r="J156" s="123"/>
      <x:c r="K156" s="123"/>
      <x:c r="L156" s="123"/>
      <x:c r="M156" s="123"/>
      <x:c r="N156" s="134" t="str">
        <x:v>Нет</x:v>
      </x:c>
    </x:row>
    <x:row r="157" ht="18" customHeight="1">
      <x:c r="A157" s="123"/>
      <x:c r="B157" s="123"/>
      <x:c r="C157" s="148"/>
      <x:c r="D157" s="148"/>
      <x:c r="E157" s="132" t="str">
        <x:f>IF(OR(C157="",D157=""),"",ROUND((D157-C157)*1440,0))</x:f>
      </x:c>
      <x:c r="F157" s="123"/>
      <x:c r="G157" s="126"/>
      <x:c r="H157" s="126"/>
      <x:c r="I157" s="126"/>
      <x:c r="J157" s="123"/>
      <x:c r="K157" s="123"/>
      <x:c r="L157" s="123"/>
      <x:c r="M157" s="123"/>
      <x:c r="N157" s="134" t="str">
        <x:v>Нет</x:v>
      </x:c>
    </x:row>
    <x:row r="158" ht="18" customHeight="1">
      <x:c r="A158" s="123"/>
      <x:c r="B158" s="123"/>
      <x:c r="C158" s="148"/>
      <x:c r="D158" s="148"/>
      <x:c r="E158" s="132" t="str">
        <x:f>IF(OR(C158="",D158=""),"",ROUND((D158-C158)*1440,0))</x:f>
      </x:c>
      <x:c r="F158" s="123"/>
      <x:c r="G158" s="126"/>
      <x:c r="H158" s="126"/>
      <x:c r="I158" s="126"/>
      <x:c r="J158" s="123"/>
      <x:c r="K158" s="123"/>
      <x:c r="L158" s="123"/>
      <x:c r="M158" s="123"/>
      <x:c r="N158" s="134" t="str">
        <x:v>Нет</x:v>
      </x:c>
    </x:row>
    <x:row r="159" ht="18" customHeight="1">
      <x:c r="A159" s="123"/>
      <x:c r="B159" s="123"/>
      <x:c r="C159" s="148"/>
      <x:c r="D159" s="148"/>
      <x:c r="E159" s="132" t="str">
        <x:f>IF(OR(C159="",D159=""),"",ROUND((D159-C159)*1440,0))</x:f>
      </x:c>
      <x:c r="F159" s="123"/>
      <x:c r="G159" s="126"/>
      <x:c r="H159" s="126"/>
      <x:c r="I159" s="126"/>
      <x:c r="J159" s="123"/>
      <x:c r="K159" s="123"/>
      <x:c r="L159" s="123"/>
      <x:c r="M159" s="123"/>
      <x:c r="N159" s="134" t="str">
        <x:v>Нет</x:v>
      </x:c>
    </x:row>
    <x:row r="160" ht="18" customHeight="1">
      <x:c r="A160" s="123"/>
      <x:c r="B160" s="123"/>
      <x:c r="C160" s="148"/>
      <x:c r="D160" s="148"/>
      <x:c r="E160" s="132" t="str">
        <x:f>IF(OR(C160="",D160=""),"",ROUND((D160-C160)*1440,0))</x:f>
      </x:c>
      <x:c r="F160" s="123"/>
      <x:c r="G160" s="126"/>
      <x:c r="H160" s="126"/>
      <x:c r="I160" s="126"/>
      <x:c r="J160" s="123"/>
      <x:c r="K160" s="123"/>
      <x:c r="L160" s="123"/>
      <x:c r="M160" s="123"/>
      <x:c r="N160" s="134" t="str">
        <x:v>Нет</x:v>
      </x:c>
    </x:row>
    <x:row r="161" ht="18" customHeight="1">
      <x:c r="A161" s="123"/>
      <x:c r="B161" s="123"/>
      <x:c r="C161" s="148"/>
      <x:c r="D161" s="148"/>
      <x:c r="E161" s="132" t="str">
        <x:f>IF(OR(C161="",D161=""),"",ROUND((D161-C161)*1440,0))</x:f>
      </x:c>
      <x:c r="F161" s="123"/>
      <x:c r="G161" s="126"/>
      <x:c r="H161" s="126"/>
      <x:c r="I161" s="126"/>
      <x:c r="J161" s="123"/>
      <x:c r="K161" s="123"/>
      <x:c r="L161" s="123"/>
      <x:c r="M161" s="123"/>
      <x:c r="N161" s="134" t="str">
        <x:v>Нет</x:v>
      </x:c>
    </x:row>
    <x:row r="162" ht="18" customHeight="1">
      <x:c r="A162" s="123"/>
      <x:c r="B162" s="123"/>
      <x:c r="C162" s="148"/>
      <x:c r="D162" s="148"/>
      <x:c r="E162" s="132" t="str">
        <x:f>IF(OR(C162="",D162=""),"",ROUND((D162-C162)*1440,0))</x:f>
      </x:c>
      <x:c r="F162" s="123"/>
      <x:c r="G162" s="126"/>
      <x:c r="H162" s="126"/>
      <x:c r="I162" s="126"/>
      <x:c r="J162" s="123"/>
      <x:c r="K162" s="123"/>
      <x:c r="L162" s="123"/>
      <x:c r="M162" s="123"/>
      <x:c r="N162" s="134" t="str">
        <x:v>Нет</x:v>
      </x:c>
    </x:row>
    <x:row r="163" ht="18" customHeight="1">
      <x:c r="A163" s="123"/>
      <x:c r="B163" s="123"/>
      <x:c r="C163" s="148"/>
      <x:c r="D163" s="148"/>
      <x:c r="E163" s="132" t="str">
        <x:f>IF(OR(C163="",D163=""),"",ROUND((D163-C163)*1440,0))</x:f>
      </x:c>
      <x:c r="F163" s="123"/>
      <x:c r="G163" s="126"/>
      <x:c r="H163" s="126"/>
      <x:c r="I163" s="126"/>
      <x:c r="J163" s="123"/>
      <x:c r="K163" s="123"/>
      <x:c r="L163" s="123"/>
      <x:c r="M163" s="123"/>
      <x:c r="N163" s="134" t="str">
        <x:v>Нет</x:v>
      </x:c>
    </x:row>
    <x:row r="164" ht="18" customHeight="1">
      <x:c r="A164" s="123"/>
      <x:c r="B164" s="123"/>
      <x:c r="C164" s="148"/>
      <x:c r="D164" s="148"/>
      <x:c r="E164" s="132" t="str">
        <x:f>IF(OR(C164="",D164=""),"",ROUND((D164-C164)*1440,0))</x:f>
      </x:c>
      <x:c r="F164" s="123"/>
      <x:c r="G164" s="126"/>
      <x:c r="H164" s="126"/>
      <x:c r="I164" s="126"/>
      <x:c r="J164" s="123"/>
      <x:c r="K164" s="123"/>
      <x:c r="L164" s="123"/>
      <x:c r="M164" s="123"/>
      <x:c r="N164" s="134" t="str">
        <x:v>Нет</x:v>
      </x:c>
    </x:row>
    <x:row r="165" ht="18" customHeight="1">
      <x:c r="A165" s="123"/>
      <x:c r="B165" s="123"/>
      <x:c r="C165" s="148"/>
      <x:c r="D165" s="148"/>
      <x:c r="E165" s="132" t="str">
        <x:f>IF(OR(C165="",D165=""),"",ROUND((D165-C165)*1440,0))</x:f>
      </x:c>
      <x:c r="F165" s="123"/>
      <x:c r="G165" s="126"/>
      <x:c r="H165" s="126"/>
      <x:c r="I165" s="126"/>
      <x:c r="J165" s="123"/>
      <x:c r="K165" s="123"/>
      <x:c r="L165" s="123"/>
      <x:c r="M165" s="123"/>
      <x:c r="N165" s="134" t="str">
        <x:v>Нет</x:v>
      </x:c>
    </x:row>
    <x:row r="166" ht="18" customHeight="1">
      <x:c r="A166" s="123"/>
      <x:c r="B166" s="123"/>
      <x:c r="C166" s="148"/>
      <x:c r="D166" s="148"/>
      <x:c r="E166" s="132" t="str">
        <x:f>IF(OR(C166="",D166=""),"",ROUND((D166-C166)*1440,0))</x:f>
      </x:c>
      <x:c r="F166" s="123"/>
      <x:c r="G166" s="126"/>
      <x:c r="H166" s="126"/>
      <x:c r="I166" s="126"/>
      <x:c r="J166" s="123"/>
      <x:c r="K166" s="123"/>
      <x:c r="L166" s="123"/>
      <x:c r="M166" s="123"/>
      <x:c r="N166" s="134" t="str">
        <x:v>Нет</x:v>
      </x:c>
    </x:row>
    <x:row r="167" ht="18" customHeight="1">
      <x:c r="A167" s="123"/>
      <x:c r="B167" s="123"/>
      <x:c r="C167" s="148"/>
      <x:c r="D167" s="148"/>
      <x:c r="E167" s="132" t="str">
        <x:f>IF(OR(C167="",D167=""),"",ROUND((D167-C167)*1440,0))</x:f>
      </x:c>
      <x:c r="F167" s="123"/>
      <x:c r="G167" s="126"/>
      <x:c r="H167" s="126"/>
      <x:c r="I167" s="126"/>
      <x:c r="J167" s="123"/>
      <x:c r="K167" s="123"/>
      <x:c r="L167" s="123"/>
      <x:c r="M167" s="123"/>
      <x:c r="N167" s="134" t="str">
        <x:v>Нет</x:v>
      </x:c>
    </x:row>
    <x:row r="168" ht="18" customHeight="1">
      <x:c r="A168" s="123"/>
      <x:c r="B168" s="123"/>
      <x:c r="C168" s="148"/>
      <x:c r="D168" s="148"/>
      <x:c r="E168" s="132" t="str">
        <x:f>IF(OR(C168="",D168=""),"",ROUND((D168-C168)*1440,0))</x:f>
      </x:c>
      <x:c r="F168" s="123"/>
      <x:c r="G168" s="126"/>
      <x:c r="H168" s="126"/>
      <x:c r="I168" s="126"/>
      <x:c r="J168" s="123"/>
      <x:c r="K168" s="123"/>
      <x:c r="L168" s="123"/>
      <x:c r="M168" s="123"/>
      <x:c r="N168" s="134" t="str">
        <x:v>Нет</x:v>
      </x:c>
    </x:row>
    <x:row r="169" ht="18" customHeight="1">
      <x:c r="A169" s="123"/>
      <x:c r="B169" s="123"/>
      <x:c r="C169" s="148"/>
      <x:c r="D169" s="148"/>
      <x:c r="E169" s="132" t="str">
        <x:f>IF(OR(C169="",D169=""),"",ROUND((D169-C169)*1440,0))</x:f>
      </x:c>
      <x:c r="F169" s="123"/>
      <x:c r="G169" s="126"/>
      <x:c r="H169" s="126"/>
      <x:c r="I169" s="126"/>
      <x:c r="J169" s="123"/>
      <x:c r="K169" s="123"/>
      <x:c r="L169" s="123"/>
      <x:c r="M169" s="123"/>
      <x:c r="N169" s="134" t="str">
        <x:v>Нет</x:v>
      </x:c>
    </x:row>
    <x:row r="170" ht="18" customHeight="1">
      <x:c r="A170" s="123"/>
      <x:c r="B170" s="123"/>
      <x:c r="C170" s="148"/>
      <x:c r="D170" s="148"/>
      <x:c r="E170" s="132" t="str">
        <x:f>IF(OR(C170="",D170=""),"",ROUND((D170-C170)*1440,0))</x:f>
      </x:c>
      <x:c r="F170" s="123"/>
      <x:c r="G170" s="126"/>
      <x:c r="H170" s="126"/>
      <x:c r="I170" s="126"/>
      <x:c r="J170" s="123"/>
      <x:c r="K170" s="123"/>
      <x:c r="L170" s="123"/>
      <x:c r="M170" s="123"/>
      <x:c r="N170" s="134" t="str">
        <x:v>Нет</x:v>
      </x:c>
    </x:row>
    <x:row r="171" ht="18" customHeight="1">
      <x:c r="A171" s="123"/>
      <x:c r="B171" s="123"/>
      <x:c r="C171" s="148"/>
      <x:c r="D171" s="148"/>
      <x:c r="E171" s="132" t="str">
        <x:f>IF(OR(C171="",D171=""),"",ROUND((D171-C171)*1440,0))</x:f>
      </x:c>
      <x:c r="F171" s="123"/>
      <x:c r="G171" s="126"/>
      <x:c r="H171" s="126"/>
      <x:c r="I171" s="126"/>
      <x:c r="J171" s="123"/>
      <x:c r="K171" s="123"/>
      <x:c r="L171" s="123"/>
      <x:c r="M171" s="123"/>
      <x:c r="N171" s="134" t="str">
        <x:v>Нет</x:v>
      </x:c>
    </x:row>
    <x:row r="172" ht="18" customHeight="1">
      <x:c r="A172" s="123"/>
      <x:c r="B172" s="123"/>
      <x:c r="C172" s="148"/>
      <x:c r="D172" s="148"/>
      <x:c r="E172" s="132" t="str">
        <x:f>IF(OR(C172="",D172=""),"",ROUND((D172-C172)*1440,0))</x:f>
      </x:c>
      <x:c r="F172" s="123"/>
      <x:c r="G172" s="126"/>
      <x:c r="H172" s="126"/>
      <x:c r="I172" s="126"/>
      <x:c r="J172" s="123"/>
      <x:c r="K172" s="123"/>
      <x:c r="L172" s="123"/>
      <x:c r="M172" s="123"/>
      <x:c r="N172" s="134" t="str">
        <x:v>Нет</x:v>
      </x:c>
    </x:row>
    <x:row r="173" ht="18" customHeight="1">
      <x:c r="A173" s="123"/>
      <x:c r="B173" s="123"/>
      <x:c r="C173" s="148"/>
      <x:c r="D173" s="148"/>
      <x:c r="E173" s="132" t="str">
        <x:f>IF(OR(C173="",D173=""),"",ROUND((D173-C173)*1440,0))</x:f>
      </x:c>
      <x:c r="F173" s="123"/>
      <x:c r="G173" s="126"/>
      <x:c r="H173" s="126"/>
      <x:c r="I173" s="126"/>
      <x:c r="J173" s="123"/>
      <x:c r="K173" s="123"/>
      <x:c r="L173" s="123"/>
      <x:c r="M173" s="123"/>
      <x:c r="N173" s="134" t="str">
        <x:v>Нет</x:v>
      </x:c>
    </x:row>
    <x:row r="174" ht="18" customHeight="1">
      <x:c r="A174" s="123"/>
      <x:c r="B174" s="123"/>
      <x:c r="C174" s="148"/>
      <x:c r="D174" s="148"/>
      <x:c r="E174" s="132" t="str">
        <x:f>IF(OR(C174="",D174=""),"",ROUND((D174-C174)*1440,0))</x:f>
      </x:c>
      <x:c r="F174" s="123"/>
      <x:c r="G174" s="126"/>
      <x:c r="H174" s="126"/>
      <x:c r="I174" s="126"/>
      <x:c r="J174" s="123"/>
      <x:c r="K174" s="123"/>
      <x:c r="L174" s="123"/>
      <x:c r="M174" s="123"/>
      <x:c r="N174" s="134" t="str">
        <x:v>Нет</x:v>
      </x:c>
    </x:row>
    <x:row r="175" ht="18" customHeight="1">
      <x:c r="A175" s="123"/>
      <x:c r="B175" s="123"/>
      <x:c r="C175" s="148"/>
      <x:c r="D175" s="148"/>
      <x:c r="E175" s="132" t="str">
        <x:f>IF(OR(C175="",D175=""),"",ROUND((D175-C175)*1440,0))</x:f>
      </x:c>
      <x:c r="F175" s="123"/>
      <x:c r="G175" s="126"/>
      <x:c r="H175" s="126"/>
      <x:c r="I175" s="126"/>
      <x:c r="J175" s="123"/>
      <x:c r="K175" s="123"/>
      <x:c r="L175" s="123"/>
      <x:c r="M175" s="123"/>
      <x:c r="N175" s="134" t="str">
        <x:v>Нет</x:v>
      </x:c>
    </x:row>
    <x:row r="176" ht="18" customHeight="1">
      <x:c r="A176" s="123"/>
      <x:c r="B176" s="123"/>
      <x:c r="C176" s="148"/>
      <x:c r="D176" s="148"/>
      <x:c r="E176" s="132" t="str">
        <x:f>IF(OR(C176="",D176=""),"",ROUND((D176-C176)*1440,0))</x:f>
      </x:c>
      <x:c r="F176" s="123"/>
      <x:c r="G176" s="126"/>
      <x:c r="H176" s="126"/>
      <x:c r="I176" s="126"/>
      <x:c r="J176" s="123"/>
      <x:c r="K176" s="123"/>
      <x:c r="L176" s="123"/>
      <x:c r="M176" s="123"/>
      <x:c r="N176" s="134" t="str">
        <x:v>Нет</x:v>
      </x:c>
    </x:row>
    <x:row r="177" ht="18" customHeight="1">
      <x:c r="A177" s="123"/>
      <x:c r="B177" s="123"/>
      <x:c r="C177" s="148"/>
      <x:c r="D177" s="148"/>
      <x:c r="E177" s="132" t="str">
        <x:f>IF(OR(C177="",D177=""),"",ROUND((D177-C177)*1440,0))</x:f>
      </x:c>
      <x:c r="F177" s="123"/>
      <x:c r="G177" s="126"/>
      <x:c r="H177" s="126"/>
      <x:c r="I177" s="126"/>
      <x:c r="J177" s="123"/>
      <x:c r="K177" s="123"/>
      <x:c r="L177" s="123"/>
      <x:c r="M177" s="123"/>
      <x:c r="N177" s="134" t="str">
        <x:v>Нет</x:v>
      </x:c>
    </x:row>
    <x:row r="178" ht="18" customHeight="1">
      <x:c r="A178" s="123"/>
      <x:c r="B178" s="123"/>
      <x:c r="C178" s="148"/>
      <x:c r="D178" s="148"/>
      <x:c r="E178" s="132" t="str">
        <x:f>IF(OR(C178="",D178=""),"",ROUND((D178-C178)*1440,0))</x:f>
      </x:c>
      <x:c r="F178" s="123"/>
      <x:c r="G178" s="126"/>
      <x:c r="H178" s="126"/>
      <x:c r="I178" s="126"/>
      <x:c r="J178" s="123"/>
      <x:c r="K178" s="123"/>
      <x:c r="L178" s="123"/>
      <x:c r="M178" s="123"/>
      <x:c r="N178" s="134" t="str">
        <x:v>Нет</x:v>
      </x:c>
    </x:row>
    <x:row r="179" ht="18" customHeight="1">
      <x:c r="A179" s="123"/>
      <x:c r="B179" s="123"/>
      <x:c r="C179" s="148"/>
      <x:c r="D179" s="148"/>
      <x:c r="E179" s="132" t="str">
        <x:f>IF(OR(C179="",D179=""),"",ROUND((D179-C179)*1440,0))</x:f>
      </x:c>
      <x:c r="F179" s="123"/>
      <x:c r="G179" s="126"/>
      <x:c r="H179" s="126"/>
      <x:c r="I179" s="126"/>
      <x:c r="J179" s="123"/>
      <x:c r="K179" s="123"/>
      <x:c r="L179" s="123"/>
      <x:c r="M179" s="123"/>
      <x:c r="N179" s="134" t="str">
        <x:v>Нет</x:v>
      </x:c>
    </x:row>
    <x:row r="180" ht="18" customHeight="1">
      <x:c r="A180" s="123"/>
      <x:c r="B180" s="123"/>
      <x:c r="C180" s="148"/>
      <x:c r="D180" s="148"/>
      <x:c r="E180" s="132" t="str">
        <x:f>IF(OR(C180="",D180=""),"",ROUND((D180-C180)*1440,0))</x:f>
      </x:c>
      <x:c r="F180" s="123"/>
      <x:c r="G180" s="126"/>
      <x:c r="H180" s="126"/>
      <x:c r="I180" s="126"/>
      <x:c r="J180" s="123"/>
      <x:c r="K180" s="123"/>
      <x:c r="L180" s="123"/>
      <x:c r="M180" s="123"/>
      <x:c r="N180" s="134" t="str">
        <x:v>Нет</x:v>
      </x:c>
    </x:row>
    <x:row r="181" ht="18" customHeight="1">
      <x:c r="A181" s="123"/>
      <x:c r="B181" s="123"/>
      <x:c r="C181" s="148"/>
      <x:c r="D181" s="148"/>
      <x:c r="E181" s="132" t="str">
        <x:f>IF(OR(C181="",D181=""),"",ROUND((D181-C181)*1440,0))</x:f>
      </x:c>
      <x:c r="F181" s="123"/>
      <x:c r="G181" s="126"/>
      <x:c r="H181" s="126"/>
      <x:c r="I181" s="126"/>
      <x:c r="J181" s="123"/>
      <x:c r="K181" s="123"/>
      <x:c r="L181" s="123"/>
      <x:c r="M181" s="123"/>
      <x:c r="N181" s="134" t="str">
        <x:v>Нет</x:v>
      </x:c>
    </x:row>
    <x:row r="182" ht="18" customHeight="1">
      <x:c r="A182" s="123"/>
      <x:c r="B182" s="123"/>
      <x:c r="C182" s="148"/>
      <x:c r="D182" s="148"/>
      <x:c r="E182" s="132" t="str">
        <x:f>IF(OR(C182="",D182=""),"",ROUND((D182-C182)*1440,0))</x:f>
      </x:c>
      <x:c r="F182" s="123"/>
      <x:c r="G182" s="126"/>
      <x:c r="H182" s="126"/>
      <x:c r="I182" s="126"/>
      <x:c r="J182" s="123"/>
      <x:c r="K182" s="123"/>
      <x:c r="L182" s="123"/>
      <x:c r="M182" s="123"/>
      <x:c r="N182" s="134" t="str">
        <x:v>Нет</x:v>
      </x:c>
    </x:row>
    <x:row r="183" ht="18" customHeight="1">
      <x:c r="A183" s="123"/>
      <x:c r="B183" s="123"/>
      <x:c r="C183" s="148"/>
      <x:c r="D183" s="148"/>
      <x:c r="E183" s="132" t="str">
        <x:f>IF(OR(C183="",D183=""),"",ROUND((D183-C183)*1440,0))</x:f>
      </x:c>
      <x:c r="F183" s="123"/>
      <x:c r="G183" s="126"/>
      <x:c r="H183" s="126"/>
      <x:c r="I183" s="126"/>
      <x:c r="J183" s="123"/>
      <x:c r="K183" s="123"/>
      <x:c r="L183" s="123"/>
      <x:c r="M183" s="123"/>
      <x:c r="N183" s="134" t="str">
        <x:v>Нет</x:v>
      </x:c>
    </x:row>
    <x:row r="184" ht="18" customHeight="1">
      <x:c r="A184" s="123"/>
      <x:c r="B184" s="123"/>
      <x:c r="C184" s="148"/>
      <x:c r="D184" s="148"/>
      <x:c r="E184" s="132" t="str">
        <x:f>IF(OR(C184="",D184=""),"",ROUND((D184-C184)*1440,0))</x:f>
      </x:c>
      <x:c r="F184" s="123"/>
      <x:c r="G184" s="126"/>
      <x:c r="H184" s="126"/>
      <x:c r="I184" s="126"/>
      <x:c r="J184" s="123"/>
      <x:c r="K184" s="123"/>
      <x:c r="L184" s="123"/>
      <x:c r="M184" s="123"/>
      <x:c r="N184" s="134" t="str">
        <x:v>Нет</x:v>
      </x:c>
    </x:row>
    <x:row r="185" ht="18" customHeight="1">
      <x:c r="A185" s="123"/>
      <x:c r="B185" s="123"/>
      <x:c r="C185" s="148"/>
      <x:c r="D185" s="148"/>
      <x:c r="E185" s="132" t="str">
        <x:f>IF(OR(C185="",D185=""),"",ROUND((D185-C185)*1440,0))</x:f>
      </x:c>
      <x:c r="F185" s="123"/>
      <x:c r="G185" s="126"/>
      <x:c r="H185" s="126"/>
      <x:c r="I185" s="126"/>
      <x:c r="J185" s="123"/>
      <x:c r="K185" s="123"/>
      <x:c r="L185" s="123"/>
      <x:c r="M185" s="123"/>
      <x:c r="N185" s="134" t="str">
        <x:v>Нет</x:v>
      </x:c>
    </x:row>
    <x:row r="186" ht="18" customHeight="1">
      <x:c r="A186" s="123"/>
      <x:c r="B186" s="123"/>
      <x:c r="C186" s="148"/>
      <x:c r="D186" s="148"/>
      <x:c r="E186" s="132" t="str">
        <x:f>IF(OR(C186="",D186=""),"",ROUND((D186-C186)*1440,0))</x:f>
      </x:c>
      <x:c r="F186" s="123"/>
      <x:c r="G186" s="126"/>
      <x:c r="H186" s="126"/>
      <x:c r="I186" s="126"/>
      <x:c r="J186" s="123"/>
      <x:c r="K186" s="123"/>
      <x:c r="L186" s="123"/>
      <x:c r="M186" s="123"/>
      <x:c r="N186" s="134" t="str">
        <x:v>Нет</x:v>
      </x:c>
    </x:row>
    <x:row r="187" ht="18" customHeight="1">
      <x:c r="A187" s="123"/>
      <x:c r="B187" s="123"/>
      <x:c r="C187" s="148"/>
      <x:c r="D187" s="148"/>
      <x:c r="E187" s="132" t="str">
        <x:f>IF(OR(C187="",D187=""),"",ROUND((D187-C187)*1440,0))</x:f>
      </x:c>
      <x:c r="F187" s="123"/>
      <x:c r="G187" s="126"/>
      <x:c r="H187" s="126"/>
      <x:c r="I187" s="126"/>
      <x:c r="J187" s="123"/>
      <x:c r="K187" s="123"/>
      <x:c r="L187" s="123"/>
      <x:c r="M187" s="123"/>
      <x:c r="N187" s="134" t="str">
        <x:v>Нет</x:v>
      </x:c>
    </x:row>
    <x:row r="188" ht="18" customHeight="1">
      <x:c r="A188" s="123"/>
      <x:c r="B188" s="123"/>
      <x:c r="C188" s="148"/>
      <x:c r="D188" s="148"/>
      <x:c r="E188" s="132" t="str">
        <x:f>IF(OR(C188="",D188=""),"",ROUND((D188-C188)*1440,0))</x:f>
      </x:c>
      <x:c r="F188" s="123"/>
      <x:c r="G188" s="126"/>
      <x:c r="H188" s="126"/>
      <x:c r="I188" s="126"/>
      <x:c r="J188" s="123"/>
      <x:c r="K188" s="123"/>
      <x:c r="L188" s="123"/>
      <x:c r="M188" s="123"/>
      <x:c r="N188" s="134" t="str">
        <x:v>Нет</x:v>
      </x:c>
    </x:row>
    <x:row r="189" ht="18" customHeight="1">
      <x:c r="A189" s="123"/>
      <x:c r="B189" s="123"/>
      <x:c r="C189" s="148"/>
      <x:c r="D189" s="148"/>
      <x:c r="E189" s="132" t="str">
        <x:f>IF(OR(C189="",D189=""),"",ROUND((D189-C189)*1440,0))</x:f>
      </x:c>
      <x:c r="F189" s="123"/>
      <x:c r="G189" s="126"/>
      <x:c r="H189" s="126"/>
      <x:c r="I189" s="126"/>
      <x:c r="J189" s="123"/>
      <x:c r="K189" s="123"/>
      <x:c r="L189" s="123"/>
      <x:c r="M189" s="123"/>
      <x:c r="N189" s="134" t="str">
        <x:v>Нет</x:v>
      </x:c>
    </x:row>
    <x:row r="190" ht="18" customHeight="1">
      <x:c r="A190" s="123"/>
      <x:c r="B190" s="123"/>
      <x:c r="C190" s="148"/>
      <x:c r="D190" s="148"/>
      <x:c r="E190" s="132" t="str">
        <x:f>IF(OR(C190="",D190=""),"",ROUND((D190-C190)*1440,0))</x:f>
      </x:c>
      <x:c r="F190" s="123"/>
      <x:c r="G190" s="126"/>
      <x:c r="H190" s="126"/>
      <x:c r="I190" s="126"/>
      <x:c r="J190" s="123"/>
      <x:c r="K190" s="123"/>
      <x:c r="L190" s="123"/>
      <x:c r="M190" s="123"/>
      <x:c r="N190" s="134" t="str">
        <x:v>Нет</x:v>
      </x:c>
    </x:row>
    <x:row r="191" ht="18" customHeight="1">
      <x:c r="A191" s="123"/>
      <x:c r="B191" s="123"/>
      <x:c r="C191" s="148"/>
      <x:c r="D191" s="148"/>
      <x:c r="E191" s="132" t="str">
        <x:f>IF(OR(C191="",D191=""),"",ROUND((D191-C191)*1440,0))</x:f>
      </x:c>
      <x:c r="F191" s="123"/>
      <x:c r="G191" s="126"/>
      <x:c r="H191" s="126"/>
      <x:c r="I191" s="126"/>
      <x:c r="J191" s="123"/>
      <x:c r="K191" s="123"/>
      <x:c r="L191" s="123"/>
      <x:c r="M191" s="123"/>
      <x:c r="N191" s="134" t="str">
        <x:v>Нет</x:v>
      </x:c>
    </x:row>
    <x:row r="192" ht="18" customHeight="1">
      <x:c r="A192" s="123"/>
      <x:c r="B192" s="123"/>
      <x:c r="C192" s="148"/>
      <x:c r="D192" s="148"/>
      <x:c r="E192" s="132" t="str">
        <x:f>IF(OR(C192="",D192=""),"",ROUND((D192-C192)*1440,0))</x:f>
      </x:c>
      <x:c r="F192" s="123"/>
      <x:c r="G192" s="126"/>
      <x:c r="H192" s="126"/>
      <x:c r="I192" s="126"/>
      <x:c r="J192" s="123"/>
      <x:c r="K192" s="123"/>
      <x:c r="L192" s="123"/>
      <x:c r="M192" s="123"/>
      <x:c r="N192" s="134" t="str">
        <x:v>Нет</x:v>
      </x:c>
    </x:row>
    <x:row r="193" ht="18" customHeight="1">
      <x:c r="A193" s="123"/>
      <x:c r="B193" s="123"/>
      <x:c r="C193" s="148"/>
      <x:c r="D193" s="148"/>
      <x:c r="E193" s="132" t="str">
        <x:f>IF(OR(C193="",D193=""),"",ROUND((D193-C193)*1440,0))</x:f>
      </x:c>
      <x:c r="F193" s="123"/>
      <x:c r="G193" s="126"/>
      <x:c r="H193" s="126"/>
      <x:c r="I193" s="126"/>
      <x:c r="J193" s="123"/>
      <x:c r="K193" s="123"/>
      <x:c r="L193" s="123"/>
      <x:c r="M193" s="123"/>
      <x:c r="N193" s="134" t="str">
        <x:v>Нет</x:v>
      </x:c>
    </x:row>
    <x:row r="194" ht="18" customHeight="1">
      <x:c r="A194" s="123"/>
      <x:c r="B194" s="123"/>
      <x:c r="C194" s="148"/>
      <x:c r="D194" s="148"/>
      <x:c r="E194" s="132" t="str">
        <x:f>IF(OR(C194="",D194=""),"",ROUND((D194-C194)*1440,0))</x:f>
      </x:c>
      <x:c r="F194" s="123"/>
      <x:c r="G194" s="126"/>
      <x:c r="H194" s="126"/>
      <x:c r="I194" s="126"/>
      <x:c r="J194" s="123"/>
      <x:c r="K194" s="123"/>
      <x:c r="L194" s="123"/>
      <x:c r="M194" s="123"/>
      <x:c r="N194" s="134" t="str">
        <x:v>Нет</x:v>
      </x:c>
    </x:row>
    <x:row r="195" ht="18" customHeight="1">
      <x:c r="A195" s="123"/>
      <x:c r="B195" s="123"/>
      <x:c r="C195" s="148"/>
      <x:c r="D195" s="148"/>
      <x:c r="E195" s="132" t="str">
        <x:f>IF(OR(C195="",D195=""),"",ROUND((D195-C195)*1440,0))</x:f>
      </x:c>
      <x:c r="F195" s="123"/>
      <x:c r="G195" s="126"/>
      <x:c r="H195" s="126"/>
      <x:c r="I195" s="126"/>
      <x:c r="J195" s="123"/>
      <x:c r="K195" s="123"/>
      <x:c r="L195" s="123"/>
      <x:c r="M195" s="123"/>
      <x:c r="N195" s="134" t="str">
        <x:v>Нет</x:v>
      </x:c>
    </x:row>
    <x:row r="196" ht="18" customHeight="1">
      <x:c r="A196" s="123"/>
      <x:c r="B196" s="123"/>
      <x:c r="C196" s="148"/>
      <x:c r="D196" s="148"/>
      <x:c r="E196" s="132" t="str">
        <x:f>IF(OR(C196="",D196=""),"",ROUND((D196-C196)*1440,0))</x:f>
      </x:c>
      <x:c r="F196" s="123"/>
      <x:c r="G196" s="126"/>
      <x:c r="H196" s="126"/>
      <x:c r="I196" s="126"/>
      <x:c r="J196" s="123"/>
      <x:c r="K196" s="123"/>
      <x:c r="L196" s="123"/>
      <x:c r="M196" s="123"/>
      <x:c r="N196" s="134" t="str">
        <x:v>Нет</x:v>
      </x:c>
    </x:row>
    <x:row r="197" ht="18" customHeight="1">
      <x:c r="A197" s="123"/>
      <x:c r="B197" s="123"/>
      <x:c r="C197" s="148"/>
      <x:c r="D197" s="148"/>
      <x:c r="E197" s="132" t="str">
        <x:f>IF(OR(C197="",D197=""),"",ROUND((D197-C197)*1440,0))</x:f>
      </x:c>
      <x:c r="F197" s="123"/>
      <x:c r="G197" s="126"/>
      <x:c r="H197" s="126"/>
      <x:c r="I197" s="126"/>
      <x:c r="J197" s="123"/>
      <x:c r="K197" s="123"/>
      <x:c r="L197" s="123"/>
      <x:c r="M197" s="123"/>
      <x:c r="N197" s="134" t="str">
        <x:v>Нет</x:v>
      </x:c>
    </x:row>
    <x:row r="198" ht="18" customHeight="1">
      <x:c r="A198" s="123"/>
      <x:c r="B198" s="123"/>
      <x:c r="C198" s="148"/>
      <x:c r="D198" s="148"/>
      <x:c r="E198" s="132" t="str">
        <x:f>IF(OR(C198="",D198=""),"",ROUND((D198-C198)*1440,0))</x:f>
      </x:c>
      <x:c r="F198" s="123"/>
      <x:c r="G198" s="126"/>
      <x:c r="H198" s="126"/>
      <x:c r="I198" s="126"/>
      <x:c r="J198" s="123"/>
      <x:c r="K198" s="123"/>
      <x:c r="L198" s="123"/>
      <x:c r="M198" s="123"/>
      <x:c r="N198" s="134" t="str">
        <x:v>Нет</x:v>
      </x:c>
    </x:row>
    <x:row r="199" ht="18" customHeight="1">
      <x:c r="A199" s="123"/>
      <x:c r="B199" s="123"/>
      <x:c r="C199" s="148"/>
      <x:c r="D199" s="148"/>
      <x:c r="E199" s="132" t="str">
        <x:f>IF(OR(C199="",D199=""),"",ROUND((D199-C199)*1440,0))</x:f>
      </x:c>
      <x:c r="F199" s="123"/>
      <x:c r="G199" s="126"/>
      <x:c r="H199" s="126"/>
      <x:c r="I199" s="126"/>
      <x:c r="J199" s="123"/>
      <x:c r="K199" s="123"/>
      <x:c r="L199" s="123"/>
      <x:c r="M199" s="123"/>
      <x:c r="N199" s="134" t="str">
        <x:v>Нет</x:v>
      </x:c>
    </x:row>
    <x:row r="200" ht="18" customHeight="1">
      <x:c r="A200" s="123"/>
      <x:c r="B200" s="123"/>
      <x:c r="C200" s="148"/>
      <x:c r="D200" s="148"/>
      <x:c r="E200" s="132" t="str">
        <x:f>IF(OR(C200="",D200=""),"",ROUND((D200-C200)*1440,0))</x:f>
      </x:c>
      <x:c r="F200" s="123"/>
      <x:c r="G200" s="126"/>
      <x:c r="H200" s="126"/>
      <x:c r="I200" s="126"/>
      <x:c r="J200" s="123"/>
      <x:c r="K200" s="123"/>
      <x:c r="L200" s="123"/>
      <x:c r="M200" s="123"/>
      <x:c r="N200" s="134" t="str">
        <x:v>Нет</x:v>
      </x:c>
    </x:row>
    <x:row r="201" ht="18" customHeight="1">
      <x:c r="A201" s="123"/>
      <x:c r="B201" s="123"/>
      <x:c r="C201" s="148"/>
      <x:c r="D201" s="148"/>
      <x:c r="E201" s="132" t="str">
        <x:f>IF(OR(C201="",D201=""),"",ROUND((D201-C201)*1440,0))</x:f>
      </x:c>
      <x:c r="F201" s="123"/>
      <x:c r="G201" s="126"/>
      <x:c r="H201" s="126"/>
      <x:c r="I201" s="126"/>
      <x:c r="J201" s="123"/>
      <x:c r="K201" s="123"/>
      <x:c r="L201" s="123"/>
      <x:c r="M201" s="123"/>
      <x:c r="N201" s="134" t="str">
        <x:v>Нет</x:v>
      </x:c>
    </x:row>
    <x:row r="202" ht="18" customHeight="1">
      <x:c r="A202" s="123"/>
      <x:c r="B202" s="123"/>
      <x:c r="C202" s="148"/>
      <x:c r="D202" s="148"/>
      <x:c r="E202" s="132" t="str">
        <x:f>IF(OR(C202="",D202=""),"",ROUND((D202-C202)*1440,0))</x:f>
      </x:c>
      <x:c r="F202" s="123"/>
      <x:c r="G202" s="126"/>
      <x:c r="H202" s="126"/>
      <x:c r="I202" s="126"/>
      <x:c r="J202" s="123"/>
      <x:c r="K202" s="123"/>
      <x:c r="L202" s="123"/>
      <x:c r="M202" s="123"/>
      <x:c r="N202" s="134" t="str">
        <x:v>Нет</x:v>
      </x:c>
    </x:row>
    <x:row r="203" ht="18" customHeight="1">
      <x:c r="A203" s="123"/>
      <x:c r="B203" s="123"/>
      <x:c r="C203" s="148"/>
      <x:c r="D203" s="148"/>
      <x:c r="E203" s="132" t="str">
        <x:f>IF(OR(C203="",D203=""),"",ROUND((D203-C203)*1440,0))</x:f>
      </x:c>
      <x:c r="F203" s="123"/>
      <x:c r="G203" s="126"/>
      <x:c r="H203" s="126"/>
      <x:c r="I203" s="126"/>
      <x:c r="J203" s="123"/>
      <x:c r="K203" s="123"/>
      <x:c r="L203" s="123"/>
      <x:c r="M203" s="123"/>
      <x:c r="N203" s="134" t="str">
        <x:v>Нет</x:v>
      </x:c>
    </x:row>
  </x:sheetData>
  <x:mergeCells>
    <x:mergeCell ref="A1:N1"/>
    <x:mergeCell ref="A2:N2"/>
  </x:mergeCells>
  <x:conditionalFormatting sqref="E4:E203">
    <x:cfRule type="expression" dxfId="3" priority="1">
      <x:formula>E4&gt;60</x:formula>
    </x:cfRule>
    <x:cfRule type="expression" dxfId="4" priority="2">
      <x:formula>AND(E4&gt;15,E4&lt;=60)</x:formula>
    </x:cfRule>
  </x:conditionalFormatting>
  <x:conditionalFormatting sqref="I4:I203">
    <x:cfRule type="expression" dxfId="5" priority="3">
      <x:formula>OR(I4="Высокий",I4="Критический")</x:formula>
    </x:cfRule>
    <x:cfRule type="expression" dxfId="6" priority="4">
      <x:formula>I4="Средний"</x:formula>
    </x:cfRule>
  </x:conditionalFormatting>
  <x:conditionalFormatting sqref="N4:N203">
    <x:cfRule type="expression" dxfId="7" priority="5">
      <x:formula>N4="Нет"</x:formula>
    </x:cfRule>
    <x:cfRule type="expression" dxfId="8" priority="6">
      <x:formula>N4="Да"</x:formula>
    </x:cfRule>
  </x:conditionalFormatting>
  <x:dataValidations count="3">
    <x:dataValidation type="list" sqref="G4:H203">
      <x:formula1>"Да,Нет,Не знаю"</x:formula1>
    </x:dataValidation>
    <x:dataValidation type="list" sqref="I4:I203">
      <x:formula1>"Низкий,Средний,Высокий,Критический"</x:formula1>
    </x:dataValidation>
    <x:dataValidation type="list" sqref="N4:N203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bd23d7477644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.5600004196167" hidden="0" customWidth="1"/>
    <x:col min="3" max="3" width="2.440000057220459" hidden="0" customWidth="1"/>
    <x:col min="4" max="4" width="14.4399995803833" hidden="0" customWidth="1"/>
    <x:col min="5" max="5" width="11.109999656677246" hidden="0" customWidth="1"/>
    <x:col min="6" max="6" width="2.2200000286102295" hidden="0" customWidth="1"/>
    <x:col min="7" max="7" width="13.329999923706055" hidden="0" customWidth="1"/>
    <x:col min="8" max="8" width="13.329999923706055" hidden="0" customWidth="1"/>
    <x:col min="9" max="9" width="8.670000076293945" hidden="0" customWidth="1"/>
    <x:col min="10" max="10" width="8.670000076293945" hidden="0" customWidth="1"/>
    <x:col min="11" max="11" width="8.670000076293945" hidden="0" customWidth="1"/>
    <x:col min="12" max="12" width="8.670000076293945" hidden="0" customWidth="1"/>
    <x:col min="13" max="13" width="8.670000076293945" hidden="0" customWidth="1"/>
    <x:col min="14" max="14" width="8.670000076293945" hidden="0" customWidth="1"/>
  </x:cols>
  <x:sheetData>
    <x:row r="1" ht="31.5" customHeight="1">
      <x:c r="A1" s="105" t="str">
        <x:v>Сводка Hermes-аудита для владельца бизнеса</x:v>
      </x:c>
      <x:c r="B1" s="105"/>
      <x:c r="C1" s="105"/>
      <x:c r="D1" s="105"/>
      <x:c r="E1" s="105"/>
      <x:c r="F1" s="105"/>
      <x:c r="G1" s="105"/>
      <x:c r="H1" s="105"/>
    </x:row>
    <x:row r="2">
      <x:c r="A2" s="149"/>
      <x:c r="B2" s="149"/>
      <x:c r="C2" s="149"/>
      <x:c r="D2" s="149"/>
      <x:c r="E2" s="149"/>
      <x:c r="F2" s="149"/>
      <x:c r="G2" s="149"/>
      <x:c r="H2" s="149"/>
    </x:row>
    <x:row r="3" ht="24" customHeight="1">
      <x:c r="A3" s="112" t="str">
        <x:v>Метрика</x:v>
      </x:c>
      <x:c r="B3" s="112" t="str">
        <x:v>Значение</x:v>
      </x:c>
      <x:c r="C3" s="28"/>
      <x:c r="D3" s="112" t="str">
        <x:v>Риск</x:v>
      </x:c>
      <x:c r="E3" s="112" t="str">
        <x:v>Количество</x:v>
      </x:c>
      <x:c r="F3" s="28"/>
      <x:c r="G3" s="28"/>
      <x:c r="H3" s="28"/>
    </x:row>
    <x:row r="4" ht="25.5" customHeight="1">
      <x:c r="A4" s="155" t="str">
        <x:v>Проверено диалогов</x:v>
      </x:c>
      <x:c r="B4" s="169" t="n">
        <x:f>COUNTIF('Диалоги'!A4:A203,"&lt;&gt;")</x:f>
        <x:v>0</x:v>
      </x:c>
      <x:c r="C4" s="28"/>
      <x:c r="D4" s="173" t="str">
        <x:v>Низкий</x:v>
      </x:c>
      <x:c r="E4" s="187" t="n">
        <x:f>COUNTIF('Диалоги'!$I$4:$I$203,D4)</x:f>
        <x:v>0</x:v>
      </x:c>
      <x:c r="F4" s="28"/>
      <x:c r="G4" s="28"/>
      <x:c r="H4" s="28"/>
    </x:row>
    <x:row r="5" ht="25.5" customHeight="1">
      <x:c r="A5" s="156" t="str">
        <x:v>Среднее время ответа, мин.</x:v>
      </x:c>
      <x:c r="B5" s="170" t="n">
        <x:f>IFERROR(ROUND(SUM('Диалоги'!E4:E203)/COUNT('Диалоги'!E4:E203),0),0)</x:f>
        <x:v>0</x:v>
      </x:c>
      <x:c r="C5" s="28"/>
      <x:c r="D5" s="174" t="str">
        <x:v>Средний</x:v>
      </x:c>
      <x:c r="E5" s="188" t="n">
        <x:f>COUNTIF('Диалоги'!$I$4:$I$203,D5)</x:f>
        <x:v>0</x:v>
      </x:c>
      <x:c r="F5" s="28"/>
      <x:c r="G5" s="28"/>
      <x:c r="H5" s="28"/>
    </x:row>
    <x:row r="6" ht="25.5" customHeight="1">
      <x:c r="A6" s="156" t="str">
        <x:v>Высокий / критический риск</x:v>
      </x:c>
      <x:c r="B6" s="170" t="n">
        <x:f>COUNTIF('Диалоги'!I4:I203,"Высокий")+COUNTIF('Диалоги'!I4:I203,"Критический")</x:f>
        <x:v>0</x:v>
      </x:c>
      <x:c r="C6" s="28"/>
      <x:c r="D6" s="174" t="str">
        <x:v>Высокий</x:v>
      </x:c>
      <x:c r="E6" s="188" t="n">
        <x:f>COUNTIF('Диалоги'!$I$4:$I$203,D6)</x:f>
        <x:v>0</x:v>
      </x:c>
      <x:c r="F6" s="28"/>
      <x:c r="G6" s="28"/>
      <x:c r="H6" s="28"/>
    </x:row>
    <x:row r="7" ht="25.5" customHeight="1">
      <x:c r="A7" s="156" t="str">
        <x:v>Не ответили на запрос клиента</x:v>
      </x:c>
      <x:c r="B7" s="170" t="n">
        <x:f>COUNTIF('Диалоги'!G4:G203,"Нет")</x:f>
        <x:v>0</x:v>
      </x:c>
      <x:c r="C7" s="28"/>
      <x:c r="D7" s="174" t="str">
        <x:v>Критический</x:v>
      </x:c>
      <x:c r="E7" s="188" t="n">
        <x:f>COUNTIF('Диалоги'!$I$4:$I$203,D7)</x:f>
        <x:v>0</x:v>
      </x:c>
      <x:c r="F7" s="28"/>
      <x:c r="G7" s="28"/>
      <x:c r="H7" s="28"/>
    </x:row>
    <x:row r="8" ht="25.5" customHeight="1">
      <x:c r="A8" s="157" t="str">
        <x:v>Нет следующего шага</x:v>
      </x:c>
      <x:c r="B8" s="171" t="n">
        <x:f>COUNTIF('Диалоги'!H4:H203,"Нет")</x:f>
        <x:v>0</x:v>
      </x:c>
      <x:c r="C8" s="28"/>
      <x:c r="D8" s="175" t="str">
        <x:v>Без оценки</x:v>
      </x:c>
      <x:c r="E8" s="189" t="n">
        <x:f>B4-SUM(E4:E7)</x:f>
        <x:v>0</x:v>
      </x:c>
      <x:c r="F8" s="28"/>
      <x:c r="G8" s="28"/>
      <x:c r="H8" s="28"/>
    </x:row>
    <x:row r="9">
      <x:c r="A9" s="28"/>
      <x:c r="B9" s="28"/>
      <x:c r="C9" s="28"/>
      <x:c r="D9" s="28"/>
      <x:c r="E9" s="28"/>
      <x:c r="F9" s="28"/>
      <x:c r="G9" s="28"/>
      <x:c r="H9" s="28"/>
    </x:row>
    <x:row r="10" ht="24" customHeight="1">
      <x:c r="A10" s="191" t="str">
        <x:v>Три главные проблемы и план действий</x:v>
      </x:c>
      <x:c r="B10" s="191"/>
      <x:c r="C10" s="191"/>
      <x:c r="D10" s="191"/>
      <x:c r="E10" s="191"/>
      <x:c r="F10" s="191"/>
      <x:c r="G10" s="191"/>
      <x:c r="H10" s="191"/>
    </x:row>
    <x:row r="11" ht="31.5" customHeight="1">
      <x:c r="A11" s="112" t="str">
        <x:v>№</x:v>
      </x:c>
      <x:c r="B11" s="112" t="str">
        <x:v>Проблема</x:v>
      </x:c>
      <x:c r="C11" s="112" t="str">
        <x:v>Доказательство</x:v>
      </x:c>
      <x:c r="D11" s="112" t="str">
        <x:v>Риск для бизнеса</x:v>
      </x:c>
      <x:c r="E11" s="112" t="str">
        <x:v>Действие</x:v>
      </x:c>
      <x:c r="F11" s="112" t="str">
        <x:v>Владелец</x:v>
      </x:c>
      <x:c r="G11" s="112" t="str">
        <x:v>Срок</x:v>
      </x:c>
      <x:c r="H11" s="112" t="str">
        <x:v>Статус</x:v>
      </x:c>
    </x:row>
    <x:row r="12" ht="25.5" customHeight="1">
      <x:c r="A12" s="121" t="n">
        <x:v>1</x:v>
      </x:c>
      <x:c r="B12" s="121" t="str"/>
      <x:c r="C12" s="121" t="str"/>
      <x:c r="D12" s="121" t="str"/>
      <x:c r="E12" s="121" t="str"/>
      <x:c r="F12" s="121" t="str"/>
      <x:c r="G12" s="122"/>
      <x:c r="H12" s="133" t="str">
        <x:v>Не начато</x:v>
      </x:c>
    </x:row>
    <x:row r="13" ht="25.5" customHeight="1">
      <x:c r="A13" s="123" t="n">
        <x:v>2</x:v>
      </x:c>
      <x:c r="B13" s="123" t="str"/>
      <x:c r="C13" s="123" t="str"/>
      <x:c r="D13" s="123" t="str"/>
      <x:c r="E13" s="123" t="str"/>
      <x:c r="F13" s="123" t="str"/>
      <x:c r="G13" s="124"/>
      <x:c r="H13" s="134" t="str">
        <x:v>Не начато</x:v>
      </x:c>
    </x:row>
    <x:row r="14" ht="25.5" customHeight="1">
      <x:c r="A14" s="123" t="n">
        <x:v>3</x:v>
      </x:c>
      <x:c r="B14" s="123" t="str"/>
      <x:c r="C14" s="123" t="str"/>
      <x:c r="D14" s="123" t="str"/>
      <x:c r="E14" s="123" t="str"/>
      <x:c r="F14" s="123" t="str"/>
      <x:c r="G14" s="124"/>
      <x:c r="H14" s="134" t="str">
        <x:v>Не начато</x:v>
      </x:c>
    </x:row>
    <x:row r="15">
      <x:c r="A15" s="28"/>
      <x:c r="B15" s="28"/>
      <x:c r="C15" s="28"/>
      <x:c r="D15" s="28"/>
      <x:c r="E15" s="28"/>
      <x:c r="F15" s="28"/>
      <x:c r="G15" s="28"/>
      <x:c r="H15" s="28"/>
    </x:row>
    <x:row r="16" ht="22.5" customHeight="1">
      <x:c r="A16" s="193" t="str">
        <x:v>Управленческий вывод</x:v>
      </x:c>
      <x:c r="B16" s="193"/>
      <x:c r="C16" s="193"/>
      <x:c r="D16" s="193"/>
      <x:c r="E16" s="193"/>
      <x:c r="F16" s="193"/>
      <x:c r="G16" s="193"/>
      <x:c r="H16" s="193"/>
    </x:row>
    <x:row r="17" ht="21" customHeight="1">
      <x:c r="A17" s="196" t="str">
        <x:v>Заполните 3-5 предложений: где именно теряются заявки, какой ущерб это создаёт, что нужно изменить в первую очередь и какой результат проверить через 7 дней.</x:v>
      </x:c>
      <x:c r="B17" s="197"/>
      <x:c r="C17" s="197"/>
      <x:c r="D17" s="197"/>
      <x:c r="E17" s="197"/>
      <x:c r="F17" s="197"/>
      <x:c r="G17" s="197"/>
      <x:c r="H17" s="198"/>
    </x:row>
    <x:row r="18" ht="21" customHeight="1">
      <x:c r="A18" s="199"/>
      <x:c r="B18" s="200"/>
      <x:c r="C18" s="200"/>
      <x:c r="D18" s="200"/>
      <x:c r="E18" s="200"/>
      <x:c r="F18" s="200"/>
      <x:c r="G18" s="200"/>
      <x:c r="H18" s="201"/>
    </x:row>
    <x:row r="19" ht="21" customHeight="1">
      <x:c r="A19" s="199"/>
      <x:c r="B19" s="200"/>
      <x:c r="C19" s="200"/>
      <x:c r="D19" s="200"/>
      <x:c r="E19" s="200"/>
      <x:c r="F19" s="200"/>
      <x:c r="G19" s="200"/>
      <x:c r="H19" s="201"/>
    </x:row>
    <x:row r="20" ht="21" customHeight="1">
      <x:c r="A20" s="199"/>
      <x:c r="B20" s="200"/>
      <x:c r="C20" s="200"/>
      <x:c r="D20" s="200"/>
      <x:c r="E20" s="200"/>
      <x:c r="F20" s="200"/>
      <x:c r="G20" s="200"/>
      <x:c r="H20" s="201"/>
    </x:row>
    <x:row r="21" ht="21" customHeight="1">
      <x:c r="A21" s="202"/>
      <x:c r="B21" s="203"/>
      <x:c r="C21" s="203"/>
      <x:c r="D21" s="203"/>
      <x:c r="E21" s="203"/>
      <x:c r="F21" s="203"/>
      <x:c r="G21" s="203"/>
      <x:c r="H21" s="204"/>
    </x:row>
  </x:sheetData>
  <x:mergeCells>
    <x:mergeCell ref="A1:H1"/>
    <x:mergeCell ref="A10:H10"/>
    <x:mergeCell ref="A16:H16"/>
    <x:mergeCell ref="A17:H21"/>
  </x:mergeCells>
  <x:dataValidations count="1">
    <x:dataValidation type="list" sqref="H12:H14">
      <x:formula1>"Не начато,В работе,Готово,Отложено"</x:formula1>
    </x:dataValidation>
  </x:dataValidations>
  <x:pageMargins left="0.7" right="0.7" top="0.75" bottom="0.75" header="0.3" footer="0.3"/>
  <x:drawing xmlns:r="http://schemas.openxmlformats.org/officeDocument/2006/relationships" r:id="R8f49046f75074a7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5600004196167" hidden="0" customWidth="1"/>
    <x:col min="2" max="2" width="15" hidden="0" customWidth="1"/>
    <x:col min="3" max="3" width="27.219999313354492" hidden="0" customWidth="1"/>
    <x:col min="4" max="4" width="25.559999465942383" hidden="0" customWidth="1"/>
    <x:col min="5" max="5" width="25" hidden="0" customWidth="1"/>
    <x:col min="6" max="6" width="10.4399995803833" hidden="0" customWidth="1"/>
  </x:cols>
  <x:sheetData>
    <x:row r="1" ht="31.5" customHeight="1">
      <x:c r="A1" s="105" t="str">
        <x:v>15-минутная презентация результата аудита</x:v>
      </x:c>
      <x:c r="B1" s="105"/>
      <x:c r="C1" s="105"/>
      <x:c r="D1" s="105"/>
      <x:c r="E1" s="105"/>
      <x:c r="F1" s="105"/>
    </x:row>
    <x:row r="2" ht="28.5" customHeight="1">
      <x:c r="A2" s="109"/>
      <x:c r="B2" s="109"/>
      <x:c r="C2" s="109"/>
      <x:c r="D2" s="109"/>
      <x:c r="E2" s="109"/>
      <x:c r="F2" s="109"/>
    </x:row>
    <x:row r="3" ht="31.5" customHeight="1">
      <x:c r="A3" s="112" t="str">
        <x:v>Минуты</x:v>
      </x:c>
      <x:c r="B3" s="112" t="str">
        <x:v>Этап</x:v>
      </x:c>
      <x:c r="C3" s="112" t="str">
        <x:v>Что показать</x:v>
      </x:c>
      <x:c r="D3" s="112" t="str">
        <x:v>Что спросить</x:v>
      </x:c>
      <x:c r="E3" s="112" t="str">
        <x:v>Что зафиксировать</x:v>
      </x:c>
      <x:c r="F3" s="112" t="str">
        <x:v>Готово?</x:v>
      </x:c>
    </x:row>
    <x:row r="4" ht="33" customHeight="1">
      <x:c r="A4" s="213" t="str">
        <x:v>0-2</x:v>
      </x:c>
      <x:c r="B4" s="121" t="str">
        <x:v>Контекст</x:v>
      </x:c>
      <x:c r="C4" s="121" t="str">
        <x:v>Объём проверенных диалогов и ограничения данных</x:v>
      </x:c>
      <x:c r="D4" s="121" t="str">
        <x:v>Как сейчас контролируете качество переписок?</x:v>
      </x:c>
      <x:c r="E4" s="121" t="str">
        <x:v>Текущий процесс контроля</x:v>
      </x:c>
      <x:c r="F4" s="133" t="str">
        <x:v>Нет</x:v>
      </x:c>
    </x:row>
    <x:row r="5" ht="33" customHeight="1">
      <x:c r="A5" s="214" t="str">
        <x:v>2-6</x:v>
      </x:c>
      <x:c r="B5" s="123" t="str">
        <x:v>Факты</x:v>
      </x:c>
      <x:c r="C5" s="123" t="str">
        <x:v>Три подтверждённых нарушения с цитатами и временем</x:v>
      </x:c>
      <x:c r="D5" s="123" t="str">
        <x:v>Какая из проблем наиболее болезненна?</x:v>
      </x:c>
      <x:c r="E5" s="123" t="str">
        <x:v>Приоритет владельца</x:v>
      </x:c>
      <x:c r="F5" s="134" t="str">
        <x:v>Нет</x:v>
      </x:c>
    </x:row>
    <x:row r="6" ht="33" customHeight="1">
      <x:c r="A6" s="214" t="str">
        <x:v>6-9</x:v>
      </x:c>
      <x:c r="B6" s="123" t="str">
        <x:v>Риски</x:v>
      </x:c>
      <x:c r="C6" s="123" t="str">
        <x:v>Что теряется: лид, скорость, доверие, следующий шаг</x:v>
      </x:c>
      <x:c r="D6" s="123" t="str">
        <x:v>Как это влияет на продажи сейчас?</x:v>
      </x:c>
      <x:c r="E6" s="123" t="str">
        <x:v>Экономический контекст без выдуманных цифр</x:v>
      </x:c>
      <x:c r="F6" s="134" t="str">
        <x:v>Нет</x:v>
      </x:c>
    </x:row>
    <x:row r="7" ht="33" customHeight="1">
      <x:c r="A7" s="214" t="str">
        <x:v>9-12</x:v>
      </x:c>
      <x:c r="B7" s="123" t="str">
        <x:v>План</x:v>
      </x:c>
      <x:c r="C7" s="123" t="str">
        <x:v>Три действия на 7 дней</x:v>
      </x:c>
      <x:c r="D7" s="123" t="str">
        <x:v>Кто может внедрить изменения?</x:v>
      </x:c>
      <x:c r="E7" s="123" t="str">
        <x:v>Ответственный и срок</x:v>
      </x:c>
      <x:c r="F7" s="134" t="str">
        <x:v>Нет</x:v>
      </x:c>
    </x:row>
    <x:row r="8" ht="33" customHeight="1">
      <x:c r="A8" s="214" t="str">
        <x:v>12-14</x:v>
      </x:c>
      <x:c r="B8" s="123" t="str">
        <x:v>Предложение</x:v>
      </x:c>
      <x:c r="C8" s="123" t="str">
        <x:v>Формат внедрения Hermes / регулярного контроля</x:v>
      </x:c>
      <x:c r="D8" s="123" t="str">
        <x:v>Нужна помощь с внедрением?</x:v>
      </x:c>
      <x:c r="E8" s="123" t="str">
        <x:v>Интерес к пилоту</x:v>
      </x:c>
      <x:c r="F8" s="134" t="str">
        <x:v>Нет</x:v>
      </x:c>
    </x:row>
    <x:row r="9" ht="33" customHeight="1">
      <x:c r="A9" s="214" t="str">
        <x:v>14-15</x:v>
      </x:c>
      <x:c r="B9" s="123" t="str">
        <x:v>Следующий шаг</x:v>
      </x:c>
      <x:c r="C9" s="123" t="str">
        <x:v>Конкретная дата и формат следующего контакта</x:v>
      </x:c>
      <x:c r="D9" s="123" t="str">
        <x:v>Когда вернёмся к результату?</x:v>
      </x:c>
      <x:c r="E9" s="123" t="str">
        <x:v>Дата следующего шага</x:v>
      </x:c>
      <x:c r="F9" s="134" t="str">
        <x:v>Нет</x:v>
      </x:c>
    </x:row>
    <x:row r="11" ht="24" customHeight="1">
      <x:c r="A11" s="191" t="str">
        <x:v>Когда уместно обсуждать РКО</x:v>
      </x:c>
      <x:c r="B11" s="191"/>
      <x:c r="C11" s="191"/>
      <x:c r="D11" s="191"/>
      <x:c r="E11" s="191"/>
      <x:c r="F11" s="191"/>
    </x:row>
    <x:row r="12" ht="28.5" customHeight="1">
      <x:c r="A12" s="112" t="str">
        <x:v>Сигнал</x:v>
      </x:c>
      <x:c r="B12" s="112" t="str">
        <x:v>Вопрос</x:v>
      </x:c>
      <x:c r="C12" s="112" t="str">
        <x:v>Допустимый следующий шаг</x:v>
      </x:c>
      <x:c r="D12" s="112" t="str">
        <x:v>Нельзя делать</x:v>
      </x:c>
      <x:c r="E12" t="str"/>
      <x:c r="F12" t="str"/>
    </x:row>
    <x:row r="13" ht="36" customHeight="1">
      <x:c r="A13" s="121" t="str">
        <x:v>Нужна регистрация бизнеса</x:v>
      </x:c>
      <x:c r="B13" s="121" t="str">
        <x:v>Как сейчас оформлена деятельность?</x:v>
      </x:c>
      <x:c r="C13" s="121" t="str">
        <x:v>Предложить консультацию по регистрации/счёту</x:v>
      </x:c>
      <x:c r="D13" s="215" t="str">
        <x:v>Делать РКО скрытым условием аудита</x:v>
      </x:c>
      <x:c r="E13" t="str"/>
      <x:c r="F13" t="str"/>
    </x:row>
    <x:row r="14" ht="36" customHeight="1">
      <x:c r="A14" s="123" t="str">
        <x:v>Нужен эквайринг или приём оплат</x:v>
      </x:c>
      <x:c r="B14" s="123" t="str">
        <x:v>Как клиенты оплачивают сейчас?</x:v>
      </x:c>
      <x:c r="C14" s="123" t="str">
        <x:v>Уточнить потребность и передать профильному специалисту</x:v>
      </x:c>
      <x:c r="D14" s="216" t="str">
        <x:v>Обещать одобрение или лучшие условия</x:v>
      </x:c>
      <x:c r="E14" t="str"/>
      <x:c r="F14" t="str"/>
    </x:row>
    <x:row r="15" ht="36" customHeight="1">
      <x:c r="A15" s="123" t="str">
        <x:v>Меняют банк / открывают новый счёт</x:v>
      </x:c>
      <x:c r="B15" s="123" t="str">
        <x:v>Есть ли задача по новому расчётному счёту?</x:v>
      </x:c>
      <x:c r="C15" s="123" t="str">
        <x:v>Предложить сравнить доступные варианты</x:v>
      </x:c>
      <x:c r="D15" s="216" t="str">
        <x:v>Навязывать счёт без реальной потребности</x:v>
      </x:c>
      <x:c r="E15" t="str"/>
      <x:c r="F15" t="str"/>
    </x:row>
    <x:row r="16" ht="36" customHeight="1">
      <x:c r="A16" s="123" t="str">
        <x:v>Потребности нет</x:v>
      </x:c>
      <x:c r="B16" s="123" t="str">
        <x:v>—</x:v>
      </x:c>
      <x:c r="C16" s="123" t="str">
        <x:v>Оставить только предложение по AI-РОП</x:v>
      </x:c>
      <x:c r="D16" s="216" t="str">
        <x:v>Притягивать РКО к любой ситуации</x:v>
      </x:c>
      <x:c r="E16" t="str"/>
      <x:c r="F16" t="str"/>
    </x:row>
  </x:sheetData>
  <x:mergeCells>
    <x:mergeCell ref="A1:F1"/>
    <x:mergeCell ref="A11:F11"/>
  </x:mergeCells>
  <x:dataValidations count="1">
    <x:dataValidation type="list" sqref="F4:F9">
      <x:formula1>"Да,Нет"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8.329999923706055" hidden="0" customWidth="1"/>
    <x:col min="3" max="3" width="18.329999923706055" hidden="0" customWidth="1"/>
    <x:col min="4" max="4" width="18.329999923706055" hidden="0" customWidth="1"/>
  </x:cols>
  <x:sheetData>
    <x:row r="1" ht="25.5" customHeight="1">
      <x:c r="A1" s="227" t="str">
        <x:v>Статусы</x:v>
      </x:c>
      <x:c r="B1" s="227" t="str">
        <x:v>Приоритеты</x:v>
      </x:c>
      <x:c r="C1" s="227" t="str">
        <x:v>Риски</x:v>
      </x:c>
      <x:c r="D1" s="227" t="str">
        <x:v>Да / Нет</x:v>
      </x:c>
    </x:row>
    <x:row r="2" ht="18" customHeight="1">
      <x:c r="A2" s="224" t="str">
        <x:v>Новый</x:v>
      </x:c>
      <x:c r="B2" s="224" t="str">
        <x:v>Высокий</x:v>
      </x:c>
      <x:c r="C2" s="224" t="str">
        <x:v>Низкий</x:v>
      </x:c>
      <x:c r="D2" s="224" t="str">
        <x:v>Да</x:v>
      </x:c>
    </x:row>
    <x:row r="3" ht="18" customHeight="1">
      <x:c r="A3" s="224" t="str">
        <x:v>Изучен</x:v>
      </x:c>
      <x:c r="B3" s="224" t="str">
        <x:v>Средний</x:v>
      </x:c>
      <x:c r="C3" s="224" t="str">
        <x:v>Средний</x:v>
      </x:c>
      <x:c r="D3" s="224" t="str">
        <x:v>Нет</x:v>
      </x:c>
    </x:row>
    <x:row r="4" ht="18" customHeight="1">
      <x:c r="A4" s="224" t="str">
        <x:v>Написал</x:v>
      </x:c>
      <x:c r="B4" s="224" t="str">
        <x:v>Низкий</x:v>
      </x:c>
      <x:c r="C4" s="224" t="str">
        <x:v>Высокий</x:v>
      </x:c>
      <x:c r="D4" s="224" t="str">
        <x:v>Не знаю</x:v>
      </x:c>
    </x:row>
    <x:row r="5" ht="18" customHeight="1">
      <x:c r="A5" s="224" t="str">
        <x:v>Ответил</x:v>
      </x:c>
      <x:c r="B5" s="224"/>
      <x:c r="C5" s="224" t="str">
        <x:v>Критический</x:v>
      </x:c>
      <x:c r="D5" s="224"/>
    </x:row>
    <x:row r="6" ht="18" customHeight="1">
      <x:c r="A6" s="224" t="str">
        <x:v>Аудит согласован</x:v>
      </x:c>
      <x:c r="B6" s="224"/>
      <x:c r="C6" s="224"/>
      <x:c r="D6" s="224"/>
    </x:row>
    <x:row r="7" ht="18" customHeight="1">
      <x:c r="A7" s="224" t="str">
        <x:v>Аудит проведён</x:v>
      </x:c>
      <x:c r="B7" s="224"/>
      <x:c r="C7" s="224"/>
      <x:c r="D7" s="224"/>
    </x:row>
    <x:row r="8" ht="18" customHeight="1">
      <x:c r="A8" s="224" t="str">
        <x:v>Предложение</x:v>
      </x:c>
      <x:c r="B8" s="224"/>
      <x:c r="C8" s="224"/>
      <x:c r="D8" s="224"/>
    </x:row>
    <x:row r="9" ht="18" customHeight="1">
      <x:c r="A9" s="224" t="str">
        <x:v>Сделка</x:v>
      </x:c>
      <x:c r="B9" s="224"/>
      <x:c r="C9" s="224"/>
      <x:c r="D9" s="224"/>
    </x:row>
    <x:row r="10" ht="18" customHeight="1">
      <x:c r="A10" s="224" t="str">
        <x:v>Нет ответа</x:v>
      </x:c>
      <x:c r="B10" s="224"/>
      <x:c r="C10" s="224"/>
      <x:c r="D10" s="224"/>
    </x:row>
    <x:row r="11" ht="18" customHeight="1">
      <x:c r="A11" s="224" t="str">
        <x:v>Не подходит</x:v>
      </x:c>
      <x:c r="B11" s="224"/>
      <x:c r="C11" s="224"/>
      <x:c r="D11" s="224"/>
    </x:row>
  </x:sheetData>
  <x:pageMargins left="0.7" right="0.7" top="0.75" bottom="0.75" header="0.3" footer="0.3"/>
</x:worksheet>
</file>